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ining Log" sheetId="2" state="visible" r:id="rId4"/>
    <sheet name="Dead Hang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<sst xmlns="http://schemas.openxmlformats.org/spreadsheetml/2006/main" count="244" uniqueCount="94">
  <si>
    <t xml:space="preserve">Dashboard</t>
  </si>
  <si>
    <t xml:space="preserve">Everything here is calculated. Nothing to fill in on this tab.</t>
  </si>
  <si>
    <t xml:space="preserve">Days until race day</t>
  </si>
  <si>
    <t xml:space="preserve">Weeks until race day</t>
  </si>
  <si>
    <t xml:space="preserve">Sessions completed</t>
  </si>
  <si>
    <t xml:space="preserve">Sessions scheduled to date</t>
  </si>
  <si>
    <t xml:space="preserve">Completion rate to date</t>
  </si>
  <si>
    <t xml:space="preserve">Phase 1 sessions done (of 30)</t>
  </si>
  <si>
    <t xml:space="preserve">Phase 2 sessions done (of 42)</t>
  </si>
  <si>
    <t xml:space="preserve">Phase 3 sessions done (of 42)</t>
  </si>
  <si>
    <t xml:space="preserve">Phase 4 sessions done (of 27)</t>
  </si>
  <si>
    <t xml:space="preserve">Runs completed</t>
  </si>
  <si>
    <t xml:space="preserve">Strength sessions completed</t>
  </si>
  <si>
    <t xml:space="preserve">Circuits completed</t>
  </si>
  <si>
    <t xml:space="preserve">Sessions missed</t>
  </si>
  <si>
    <t xml:space="preserve">Travel backups used</t>
  </si>
  <si>
    <t xml:space="preserve">Backup share of completed</t>
  </si>
  <si>
    <t xml:space="preserve">Full sessions (non-backup)</t>
  </si>
  <si>
    <t xml:space="preserve">Dead hang PR (sec)</t>
  </si>
  <si>
    <t xml:space="preserve">Dead hang average (sec)</t>
  </si>
  <si>
    <t xml:space="preserve">Hangs logged</t>
  </si>
  <si>
    <t xml:space="preserve">60 sec benchmark hit?</t>
  </si>
  <si>
    <t xml:space="preserve">90 sec benchmark hit?</t>
  </si>
  <si>
    <t xml:space="preserve">Legend</t>
  </si>
  <si>
    <t xml:space="preserve">Shaded cells (cream) are the ones you fill in. Everything else is a formula, leave it alone.</t>
  </si>
  <si>
    <t xml:space="preserve">Training Log: mark each session Done, Backup, Partial, or Missed.</t>
  </si>
  <si>
    <t xml:space="preserve">Done and Backup both count toward totals. Partial and Missed do not.</t>
  </si>
  <si>
    <t xml:space="preserve">Backup = the 15 min travel workout done in place of the real session. Watch the backup share: if it passes about 30%, your strength progression is stalling.</t>
  </si>
  <si>
    <t xml:space="preserve">Dead Hang Log: one row per hang. Date and seconds are the only required fields.</t>
  </si>
  <si>
    <t xml:space="preserve">Session counts by phase: P1 = 30, P2 = 42, P3 = 42, P4 = 27. Total 141.</t>
  </si>
  <si>
    <t xml:space="preserve">Race date June 26, 2027, confirmed from toughmudder.com/events/twin-cities.</t>
  </si>
  <si>
    <t xml:space="preserve">Tough Mudder 5K Training Log</t>
  </si>
  <si>
    <t xml:space="preserve">Twin Cities, Hugo MN. Race day: Saturday June 26, 2027.</t>
  </si>
  <si>
    <t xml:space="preserve">FILL IN: the shaded columns only. Pick Done / Backup / Partial / Missed from the dropdown. Backup means you did the 15 min travel workout instead. It counts. Everything else calculates.</t>
  </si>
  <si>
    <t xml:space="preserve">Week</t>
  </si>
  <si>
    <t xml:space="preserve">Week Of</t>
  </si>
  <si>
    <t xml:space="preserve">Phase</t>
  </si>
  <si>
    <t xml:space="preserve">Day 1: Run</t>
  </si>
  <si>
    <t xml:space="preserve">Run</t>
  </si>
  <si>
    <t xml:space="preserve">Day 2: Strength</t>
  </si>
  <si>
    <t xml:space="preserve">Str</t>
  </si>
  <si>
    <t xml:space="preserve">Day 3: Circuit</t>
  </si>
  <si>
    <t xml:space="preserve">Cir</t>
  </si>
  <si>
    <t xml:space="preserve">Done</t>
  </si>
  <si>
    <t xml:space="preserve">Notes</t>
  </si>
  <si>
    <t xml:space="preserve">1. Base</t>
  </si>
  <si>
    <t xml:space="preserve">1 min run / 2 min walk x 8</t>
  </si>
  <si>
    <t xml:space="preserve">Strength A: 3 rounds bodyweight (+1 rep/wk)</t>
  </si>
  <si>
    <t xml:space="preserve">Circuit A: 5 rounds, 40 on / 20 off</t>
  </si>
  <si>
    <t xml:space="preserve">1.5 min run / 2 min walk x 7</t>
  </si>
  <si>
    <t xml:space="preserve">2 min run / 2 min walk x 7</t>
  </si>
  <si>
    <t xml:space="preserve">3 min run / 2 min walk x 6</t>
  </si>
  <si>
    <t xml:space="preserve">4 min run / 2 min walk x 5</t>
  </si>
  <si>
    <t xml:space="preserve">5 min run / 2 min walk x 4, then 5 min walk</t>
  </si>
  <si>
    <t xml:space="preserve">8 min run / 2 min walk x 3</t>
  </si>
  <si>
    <t xml:space="preserve">12 min run / 2 min walk x 2, then 6 min run</t>
  </si>
  <si>
    <t xml:space="preserve">20 min continuous, walk 5, then 8 min continuous</t>
  </si>
  <si>
    <t xml:space="preserve">30 min CONTINUOUS (Phase 1 goal)</t>
  </si>
  <si>
    <t xml:space="preserve">2. Strength Build</t>
  </si>
  <si>
    <t xml:space="preserve">30-35 min easy, plus 5 min at 4% incline mid-run</t>
  </si>
  <si>
    <t xml:space="preserve">Strength B: 4 rounds, rows / split squat / press / farmer carry / hollow / hang</t>
  </si>
  <si>
    <t xml:space="preserve">Circuit B: 6 rounds, 40 on / 20 off</t>
  </si>
  <si>
    <t xml:space="preserve">35 min easy continuous</t>
  </si>
  <si>
    <t xml:space="preserve">Incline intervals: 3 min at 6-8% / 3 min flat, x 6</t>
  </si>
  <si>
    <t xml:space="preserve">3. Race Specific</t>
  </si>
  <si>
    <t xml:space="preserve">3.5 miles easy</t>
  </si>
  <si>
    <t xml:space="preserve">Strength C: B + pull-ups, chest carry, wall get-over</t>
  </si>
  <si>
    <t xml:space="preserve">Circuit C: 8 rounds + 30 sec dead hang between rounds 4 and 5</t>
  </si>
  <si>
    <t xml:space="preserve">3.75 miles easy</t>
  </si>
  <si>
    <t xml:space="preserve">4 miles easy</t>
  </si>
  <si>
    <t xml:space="preserve">4 miles easy (Phase 3 goal)</t>
  </si>
  <si>
    <t xml:space="preserve">Long: 4 miles easy</t>
  </si>
  <si>
    <t xml:space="preserve">Hills: 8 x 45 sec hard uphill, walk down</t>
  </si>
  <si>
    <t xml:space="preserve">Broken 5K: 1 mi, 20 burpees, 1 mi, 20 burpees, 1 mi</t>
  </si>
  <si>
    <t xml:space="preserve">4. Terrain &amp; Taper</t>
  </si>
  <si>
    <t xml:space="preserve">Off-trail on the property, 35-45 min. Uneven ground, no pace goal.</t>
  </si>
  <si>
    <t xml:space="preserve">Circuit C outdoors: real crawls, real carries, grass and dirt</t>
  </si>
  <si>
    <t xml:space="preserve">TAPER: 25 min easy, flat</t>
  </si>
  <si>
    <t xml:space="preserve">TAPER: Strength C at 60%, 2 rounds only</t>
  </si>
  <si>
    <t xml:space="preserve">TAPER: Circuit A, easy effort</t>
  </si>
  <si>
    <t xml:space="preserve">RACE WEEK: Mon 20 min easy, Wed 15 min easy + strides</t>
  </si>
  <si>
    <t xml:space="preserve">RACE WEEK: none</t>
  </si>
  <si>
    <t xml:space="preserve">RACE DAY: Saturday June 26</t>
  </si>
  <si>
    <t xml:space="preserve">TOTAL</t>
  </si>
  <si>
    <t xml:space="preserve">out of 141 total sessions</t>
  </si>
  <si>
    <t xml:space="preserve">Dead Hang Log</t>
  </si>
  <si>
    <t xml:space="preserve">Log every hang. Benchmark: 60 sec by end of Phase 1 (Oct 11, 2026), 90 sec by end of Phase 2.</t>
  </si>
  <si>
    <t xml:space="preserve">FILL IN: all four columns. Delete the example row once you start.</t>
  </si>
  <si>
    <t xml:space="preserve">Date</t>
  </si>
  <si>
    <t xml:space="preserve">Seconds</t>
  </si>
  <si>
    <t xml:space="preserve">Grip Type</t>
  </si>
  <si>
    <t xml:space="preserve">Where / Notes</t>
  </si>
  <si>
    <t xml:space="preserve">Bar</t>
  </si>
  <si>
    <t xml:space="preserve">EXAMPLE ROW. Hotel gym in Bloomington, grip gave out first.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</si>
</sst>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%"/>
    <numFmt numFmtId="168" formatCode="mmm\ d&quot;, &quot;yyyy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2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10"/>
      <color rgb="FFB26B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8F1E4"/>
        <bgColor rgb="FFDCE9F5"/>
      </patternFill>
    </fill>
    <fill>
      <patternFill patternType="solid">
        <fgColor rgb="FF1F3B2C"/>
        <bgColor rgb="FF333300"/>
      </patternFill>
    </fill>
    <fill>
      <patternFill patternType="solid">
        <fgColor rgb="FFFFF2CC"/>
        <bgColor rgb="FFF5E6DC"/>
      </patternFill>
    </fill>
    <fill>
      <patternFill patternType="solid">
        <fgColor rgb="FFDCE9F5"/>
        <bgColor rgb="FFE8F1E4"/>
      </patternFill>
    </fill>
    <fill>
      <patternFill patternType="solid">
        <fgColor rgb="FFF5E6DC"/>
        <bgColor rgb="FFEFE3F2"/>
      </patternFill>
    </fill>
    <fill>
      <patternFill patternType="solid">
        <fgColor rgb="FFEFE3F2"/>
        <bgColor rgb="FFF5E6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B00"/>
      <rgbColor rgb="FF800080"/>
      <rgbColor rgb="FF008080"/>
      <rgbColor rgb="FFBFBFBF"/>
      <rgbColor rgb="FF808080"/>
      <rgbColor rgb="FF9999FF"/>
      <rgbColor rgb="FF993366"/>
      <rgbColor rgb="FFFFF2CC"/>
      <rgbColor rgb="FFDCE9F5"/>
      <rgbColor rgb="FF660066"/>
      <rgbColor rgb="FFFF8080"/>
      <rgbColor rgb="FF0066CC"/>
      <rgbColor rgb="FFEFE3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1E4"/>
      <rgbColor rgb="FFF5E6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true">MAX(0,DATE(2027,6,26)-TODAY())</f>
        <v>335</v>
      </c>
    </row>
    <row r="5" customFormat="false" ht="15" hidden="false" customHeight="false" outlineLevel="0" collapsed="false">
      <c r="A5" s="3" t="s">
        <v>3</v>
      </c>
      <c r="B5" s="5" t="n">
        <f aca="true">ROUND(MAX(0,DATE(2027,6,26)-TODAY())/7,1)</f>
        <v>47.9</v>
      </c>
    </row>
    <row r="7" customFormat="false" ht="15" hidden="false" customHeight="false" outlineLevel="0" collapsed="false">
      <c r="A7" s="3" t="s">
        <v>4</v>
      </c>
      <c r="B7" s="4" t="n">
        <f aca="false">'Training Log'!J54</f>
        <v>0</v>
      </c>
    </row>
    <row r="8" customFormat="false" ht="15" hidden="false" customHeight="false" outlineLevel="0" collapsed="false">
      <c r="A8" s="3" t="s">
        <v>5</v>
      </c>
      <c r="B8" s="4" t="n">
        <f aca="true">MIN(141,MAX(0,SUMPRODUCT(('Training Log'!$B$6:$B$52&lt;=TODAY())*1)*3))</f>
        <v>0</v>
      </c>
    </row>
    <row r="9" customFormat="false" ht="15" hidden="false" customHeight="false" outlineLevel="0" collapsed="false">
      <c r="A9" s="3" t="s">
        <v>6</v>
      </c>
      <c r="B9" s="6" t="n">
        <f aca="false">IFERROR(B5/B6,0)</f>
        <v>0</v>
      </c>
    </row>
    <row r="11" customFormat="false" ht="15" hidden="false" customHeight="false" outlineLevel="0" collapsed="false">
      <c r="A11" s="3" t="s">
        <v>7</v>
      </c>
      <c r="B11" s="4" t="n">
        <f aca="false">SUMPRODUCT(('Training Log'!$C$6:$C$52="1. Base")*'Training Log'!$J$6:$J$52)</f>
        <v>0</v>
      </c>
    </row>
    <row r="12" customFormat="false" ht="15" hidden="false" customHeight="false" outlineLevel="0" collapsed="false">
      <c r="A12" s="3" t="s">
        <v>8</v>
      </c>
      <c r="B12" s="4" t="n">
        <f aca="false">SUMPRODUCT(('Training Log'!$C$6:$C$52="2. Strength Build")*'Training Log'!$J$6:$J$52)</f>
        <v>0</v>
      </c>
    </row>
    <row r="13" customFormat="false" ht="15" hidden="false" customHeight="false" outlineLevel="0" collapsed="false">
      <c r="A13" s="3" t="s">
        <v>9</v>
      </c>
      <c r="B13" s="4" t="n">
        <f aca="false">SUMPRODUCT(('Training Log'!$C$6:$C$52="3. Race Specific")*'Training Log'!$J$6:$J$52)</f>
        <v>0</v>
      </c>
    </row>
    <row r="14" customFormat="false" ht="15" hidden="false" customHeight="false" outlineLevel="0" collapsed="false">
      <c r="A14" s="3" t="s">
        <v>10</v>
      </c>
      <c r="B14" s="4" t="n">
        <f aca="false">SUMPRODUCT(('Training Log'!$C$6:$C$52="4. Terrain &amp; Taper")*'Training Log'!$J$6:$J$52)</f>
        <v>0</v>
      </c>
    </row>
    <row r="16" customFormat="false" ht="15" hidden="false" customHeight="false" outlineLevel="0" collapsed="false">
      <c r="A16" s="3" t="s">
        <v>11</v>
      </c>
      <c r="B16" s="4" t="n">
        <f aca="false">COUNTIF('Training Log'!E6:E52,"Done")</f>
        <v>0</v>
      </c>
    </row>
    <row r="17" customFormat="false" ht="15" hidden="false" customHeight="false" outlineLevel="0" collapsed="false">
      <c r="A17" s="3" t="s">
        <v>12</v>
      </c>
      <c r="B17" s="4" t="n">
        <f aca="false">COUNTIF('Training Log'!G6:G52,"Done")</f>
        <v>0</v>
      </c>
    </row>
    <row r="18" customFormat="false" ht="15" hidden="false" customHeight="false" outlineLevel="0" collapsed="false">
      <c r="A18" s="3" t="s">
        <v>13</v>
      </c>
      <c r="B18" s="4" t="n">
        <f aca="false">COUNTIF('Training Log'!I6:I52,"Done")</f>
        <v>0</v>
      </c>
    </row>
    <row r="19" customFormat="false" ht="15" hidden="false" customHeight="false" outlineLevel="0" collapsed="false">
      <c r="A19" s="3" t="s">
        <v>14</v>
      </c>
      <c r="B19" s="4" t="n">
        <f aca="false">COUNTIF('Training Log'!E6:I52,"Missed")</f>
        <v>0</v>
      </c>
    </row>
    <row r="21" customFormat="false" ht="15" hidden="false" customHeight="false" outlineLevel="0" collapsed="false">
      <c r="A21" s="3" t="s">
        <v>15</v>
      </c>
      <c r="B21" s="4" t="n">
        <f aca="false">COUNTIF('Training Log'!E6:I52,"Backup")</f>
        <v>0</v>
      </c>
    </row>
    <row r="22" customFormat="false" ht="15" hidden="false" customHeight="false" outlineLevel="0" collapsed="false">
      <c r="A22" s="3" t="s">
        <v>16</v>
      </c>
      <c r="B22" s="6" t="n">
        <f aca="false">IFERROR(COUNTIF('Training Log'!E6:I52,"Backup")/'Training Log'!J54,0)</f>
        <v>0</v>
      </c>
    </row>
    <row r="23" customFormat="false" ht="15" hidden="false" customHeight="false" outlineLevel="0" collapsed="false">
      <c r="A23" s="3" t="s">
        <v>17</v>
      </c>
      <c r="B23" s="4" t="n">
        <f aca="false">COUNTIF('Training Log'!E6:I52,"Done")</f>
        <v>0</v>
      </c>
    </row>
    <row r="25" customFormat="false" ht="15" hidden="false" customHeight="false" outlineLevel="0" collapsed="false">
      <c r="A25" s="3" t="s">
        <v>18</v>
      </c>
      <c r="B25" s="4" t="n">
        <f aca="false">IFERROR(MAX('Dead Hang Log'!B7:B305),0)</f>
        <v>0</v>
      </c>
    </row>
    <row r="26" customFormat="false" ht="15" hidden="false" customHeight="false" outlineLevel="0" collapsed="false">
      <c r="A26" s="3" t="s">
        <v>19</v>
      </c>
      <c r="B26" s="4" t="n">
        <f aca="false">IFERROR(ROUND(AVERAGE('Dead Hang Log'!B7:B305),0),0)</f>
        <v>0</v>
      </c>
    </row>
    <row r="27" customFormat="false" ht="15" hidden="false" customHeight="false" outlineLevel="0" collapsed="false">
      <c r="A27" s="3" t="s">
        <v>20</v>
      </c>
      <c r="B27" s="4" t="n">
        <f aca="false">COUNT('Dead Hang Log'!B7:B305)</f>
        <v>0</v>
      </c>
    </row>
    <row r="28" customFormat="false" ht="15" hidden="false" customHeight="false" outlineLevel="0" collapsed="false">
      <c r="A28" s="3" t="s">
        <v>21</v>
      </c>
      <c r="B28" s="7" t="str">
        <f aca="false">IF(IFERROR(MAX('Dead Hang Log'!B7:B305),0)&gt;=60,"YES","Not yet")</f>
        <v>Not yet</v>
      </c>
    </row>
    <row r="29" customFormat="false" ht="15" hidden="false" customHeight="false" outlineLevel="0" collapsed="false">
      <c r="A29" s="3" t="s">
        <v>22</v>
      </c>
      <c r="B29" s="7" t="str">
        <f aca="false">IF(IFERROR(MAX('Dead Hang Log'!B7:B305),0)&gt;=90,"YES","Not yet")</f>
        <v>Not yet</v>
      </c>
    </row>
    <row r="32" customFormat="false" ht="15" hidden="false" customHeight="false" outlineLevel="0" collapsed="false">
      <c r="A32" s="8" t="s">
        <v>23</v>
      </c>
    </row>
    <row r="33" customFormat="false" ht="15" hidden="false" customHeight="false" outlineLevel="0" collapsed="false">
      <c r="A33" s="9" t="s">
        <v>24</v>
      </c>
    </row>
    <row r="34" customFormat="false" ht="15" hidden="false" customHeight="false" outlineLevel="0" collapsed="false">
      <c r="A34" s="9" t="s">
        <v>25</v>
      </c>
    </row>
    <row r="35" customFormat="false" ht="15" hidden="false" customHeight="false" outlineLevel="0" collapsed="false">
      <c r="A35" s="9" t="s">
        <v>26</v>
      </c>
    </row>
    <row r="36" customFormat="false" ht="15" hidden="false" customHeight="false" outlineLevel="0" collapsed="false">
      <c r="A36" s="9" t="s">
        <v>27</v>
      </c>
    </row>
    <row r="37" customFormat="false" ht="15" hidden="false" customHeight="false" outlineLevel="0" collapsed="false">
      <c r="A37" s="9" t="s">
        <v>28</v>
      </c>
    </row>
    <row r="38" customFormat="false" ht="15" hidden="false" customHeight="false" outlineLevel="0" collapsed="false">
      <c r="A38" s="9" t="s">
        <v>29</v>
      </c>
    </row>
    <row r="39" customFormat="false" ht="15" hidden="false" customHeight="false" outlineLevel="0" collapsed="false">
      <c r="A39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42"/>
    <col collapsed="false" customWidth="true" hidden="false" outlineLevel="0" max="7" min="7" style="0" width="9"/>
    <col collapsed="false" customWidth="true" hidden="false" outlineLevel="0" max="8" min="8" style="0" width="4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34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10" t="s">
        <v>33</v>
      </c>
    </row>
    <row r="5" customFormat="false" ht="27.75" hidden="false" customHeight="true" outlineLevel="0" collapsed="false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1" t="s">
        <v>40</v>
      </c>
      <c r="H5" s="11" t="s">
        <v>41</v>
      </c>
      <c r="I5" s="11" t="s">
        <v>42</v>
      </c>
      <c r="J5" s="11" t="s">
        <v>43</v>
      </c>
      <c r="K5" s="11" t="s">
        <v>44</v>
      </c>
    </row>
    <row r="6" customFormat="false" ht="15" hidden="false" customHeight="false" outlineLevel="0" collapsed="false">
      <c r="A6" s="12" t="n">
        <v>1</v>
      </c>
      <c r="B6" s="13" t="n">
        <v>46237</v>
      </c>
      <c r="C6" s="14" t="s">
        <v>45</v>
      </c>
      <c r="D6" s="15" t="s">
        <v>46</v>
      </c>
      <c r="E6" s="16"/>
      <c r="F6" s="15" t="s">
        <v>47</v>
      </c>
      <c r="G6" s="16"/>
      <c r="H6" s="15" t="s">
        <v>48</v>
      </c>
      <c r="I6" s="16"/>
      <c r="J6" s="17" t="n">
        <f aca="false">COUNTIF(E6,"Done")+COUNTIF(G6,"Done")+COUNTIF(I6,"Done")+COUNTIF(E6,"Backup")+COUNTIF(G6,"Backup")+COUNTIF(I6,"Backup")</f>
        <v>0</v>
      </c>
      <c r="K6" s="18"/>
    </row>
    <row r="7" customFormat="false" ht="15" hidden="false" customHeight="false" outlineLevel="0" collapsed="false">
      <c r="A7" s="12" t="n">
        <v>2</v>
      </c>
      <c r="B7" s="13" t="n">
        <v>46244</v>
      </c>
      <c r="C7" s="14" t="s">
        <v>45</v>
      </c>
      <c r="D7" s="15" t="s">
        <v>49</v>
      </c>
      <c r="E7" s="16"/>
      <c r="F7" s="15" t="s">
        <v>47</v>
      </c>
      <c r="G7" s="16"/>
      <c r="H7" s="15" t="s">
        <v>48</v>
      </c>
      <c r="I7" s="16"/>
      <c r="J7" s="17" t="n">
        <f aca="false">COUNTIF(E7,"Done")+COUNTIF(G7,"Done")+COUNTIF(I7,"Done")+COUNTIF(E7,"Backup")+COUNTIF(G7,"Backup")+COUNTIF(I7,"Backup")</f>
        <v>0</v>
      </c>
      <c r="K7" s="18"/>
    </row>
    <row r="8" customFormat="false" ht="15" hidden="false" customHeight="false" outlineLevel="0" collapsed="false">
      <c r="A8" s="12" t="n">
        <v>3</v>
      </c>
      <c r="B8" s="13" t="n">
        <v>46251</v>
      </c>
      <c r="C8" s="14" t="s">
        <v>45</v>
      </c>
      <c r="D8" s="15" t="s">
        <v>50</v>
      </c>
      <c r="E8" s="16"/>
      <c r="F8" s="15" t="s">
        <v>47</v>
      </c>
      <c r="G8" s="16"/>
      <c r="H8" s="15" t="s">
        <v>48</v>
      </c>
      <c r="I8" s="16"/>
      <c r="J8" s="17" t="n">
        <f aca="false">COUNTIF(E8,"Done")+COUNTIF(G8,"Done")+COUNTIF(I8,"Done")+COUNTIF(E8,"Backup")+COUNTIF(G8,"Backup")+COUNTIF(I8,"Backup")</f>
        <v>0</v>
      </c>
      <c r="K8" s="18"/>
    </row>
    <row r="9" customFormat="false" ht="15" hidden="false" customHeight="false" outlineLevel="0" collapsed="false">
      <c r="A9" s="12" t="n">
        <v>4</v>
      </c>
      <c r="B9" s="13" t="n">
        <v>46258</v>
      </c>
      <c r="C9" s="14" t="s">
        <v>45</v>
      </c>
      <c r="D9" s="15" t="s">
        <v>51</v>
      </c>
      <c r="E9" s="16"/>
      <c r="F9" s="15" t="s">
        <v>47</v>
      </c>
      <c r="G9" s="16"/>
      <c r="H9" s="15" t="s">
        <v>48</v>
      </c>
      <c r="I9" s="16"/>
      <c r="J9" s="17" t="n">
        <f aca="false">COUNTIF(E9,"Done")+COUNTIF(G9,"Done")+COUNTIF(I9,"Done")+COUNTIF(E9,"Backup")+COUNTIF(G9,"Backup")+COUNTIF(I9,"Backup")</f>
        <v>0</v>
      </c>
      <c r="K9" s="18"/>
    </row>
    <row r="10" customFormat="false" ht="15" hidden="false" customHeight="false" outlineLevel="0" collapsed="false">
      <c r="A10" s="12" t="n">
        <v>5</v>
      </c>
      <c r="B10" s="13" t="n">
        <v>46265</v>
      </c>
      <c r="C10" s="14" t="s">
        <v>45</v>
      </c>
      <c r="D10" s="15" t="s">
        <v>52</v>
      </c>
      <c r="E10" s="16"/>
      <c r="F10" s="15" t="s">
        <v>47</v>
      </c>
      <c r="G10" s="16"/>
      <c r="H10" s="15" t="s">
        <v>48</v>
      </c>
      <c r="I10" s="16"/>
      <c r="J10" s="17" t="n">
        <f aca="false">COUNTIF(E10,"Done")+COUNTIF(G10,"Done")+COUNTIF(I10,"Done")+COUNTIF(E10,"Backup")+COUNTIF(G10,"Backup")+COUNTIF(I10,"Backup")</f>
        <v>0</v>
      </c>
      <c r="K10" s="18"/>
    </row>
    <row r="11" customFormat="false" ht="15" hidden="false" customHeight="false" outlineLevel="0" collapsed="false">
      <c r="A11" s="12" t="n">
        <v>6</v>
      </c>
      <c r="B11" s="13" t="n">
        <v>46272</v>
      </c>
      <c r="C11" s="14" t="s">
        <v>45</v>
      </c>
      <c r="D11" s="15" t="s">
        <v>53</v>
      </c>
      <c r="E11" s="16"/>
      <c r="F11" s="15" t="s">
        <v>47</v>
      </c>
      <c r="G11" s="16"/>
      <c r="H11" s="15" t="s">
        <v>48</v>
      </c>
      <c r="I11" s="16"/>
      <c r="J11" s="17" t="n">
        <f aca="false">COUNTIF(E11,"Done")+COUNTIF(G11,"Done")+COUNTIF(I11,"Done")+COUNTIF(E11,"Backup")+COUNTIF(G11,"Backup")+COUNTIF(I11,"Backup")</f>
        <v>0</v>
      </c>
      <c r="K11" s="18"/>
    </row>
    <row r="12" customFormat="false" ht="15" hidden="false" customHeight="false" outlineLevel="0" collapsed="false">
      <c r="A12" s="12" t="n">
        <v>7</v>
      </c>
      <c r="B12" s="13" t="n">
        <v>46279</v>
      </c>
      <c r="C12" s="14" t="s">
        <v>45</v>
      </c>
      <c r="D12" s="15" t="s">
        <v>54</v>
      </c>
      <c r="E12" s="16"/>
      <c r="F12" s="15" t="s">
        <v>47</v>
      </c>
      <c r="G12" s="16"/>
      <c r="H12" s="15" t="s">
        <v>48</v>
      </c>
      <c r="I12" s="16"/>
      <c r="J12" s="17" t="n">
        <f aca="false">COUNTIF(E12,"Done")+COUNTIF(G12,"Done")+COUNTIF(I12,"Done")+COUNTIF(E12,"Backup")+COUNTIF(G12,"Backup")+COUNTIF(I12,"Backup")</f>
        <v>0</v>
      </c>
      <c r="K12" s="18"/>
    </row>
    <row r="13" customFormat="false" ht="15" hidden="false" customHeight="false" outlineLevel="0" collapsed="false">
      <c r="A13" s="12" t="n">
        <v>8</v>
      </c>
      <c r="B13" s="13" t="n">
        <v>46286</v>
      </c>
      <c r="C13" s="14" t="s">
        <v>45</v>
      </c>
      <c r="D13" s="15" t="s">
        <v>55</v>
      </c>
      <c r="E13" s="16"/>
      <c r="F13" s="15" t="s">
        <v>47</v>
      </c>
      <c r="G13" s="16"/>
      <c r="H13" s="15" t="s">
        <v>48</v>
      </c>
      <c r="I13" s="16"/>
      <c r="J13" s="17" t="n">
        <f aca="false">COUNTIF(E13,"Done")+COUNTIF(G13,"Done")+COUNTIF(I13,"Done")+COUNTIF(E13,"Backup")+COUNTIF(G13,"Backup")+COUNTIF(I13,"Backup")</f>
        <v>0</v>
      </c>
      <c r="K13" s="18"/>
    </row>
    <row r="14" customFormat="false" ht="15" hidden="false" customHeight="false" outlineLevel="0" collapsed="false">
      <c r="A14" s="12" t="n">
        <v>9</v>
      </c>
      <c r="B14" s="13" t="n">
        <v>46293</v>
      </c>
      <c r="C14" s="14" t="s">
        <v>45</v>
      </c>
      <c r="D14" s="15" t="s">
        <v>56</v>
      </c>
      <c r="E14" s="16"/>
      <c r="F14" s="15" t="s">
        <v>47</v>
      </c>
      <c r="G14" s="16"/>
      <c r="H14" s="15" t="s">
        <v>48</v>
      </c>
      <c r="I14" s="16"/>
      <c r="J14" s="17" t="n">
        <f aca="false">COUNTIF(E14,"Done")+COUNTIF(G14,"Done")+COUNTIF(I14,"Done")+COUNTIF(E14,"Backup")+COUNTIF(G14,"Backup")+COUNTIF(I14,"Backup")</f>
        <v>0</v>
      </c>
      <c r="K14" s="18"/>
    </row>
    <row r="15" customFormat="false" ht="15" hidden="false" customHeight="false" outlineLevel="0" collapsed="false">
      <c r="A15" s="12" t="n">
        <v>10</v>
      </c>
      <c r="B15" s="13" t="n">
        <v>46300</v>
      </c>
      <c r="C15" s="14" t="s">
        <v>45</v>
      </c>
      <c r="D15" s="15" t="s">
        <v>57</v>
      </c>
      <c r="E15" s="16"/>
      <c r="F15" s="15" t="s">
        <v>47</v>
      </c>
      <c r="G15" s="16"/>
      <c r="H15" s="15" t="s">
        <v>48</v>
      </c>
      <c r="I15" s="16"/>
      <c r="J15" s="17" t="n">
        <f aca="false">COUNTIF(E15,"Done")+COUNTIF(G15,"Done")+COUNTIF(I15,"Done")+COUNTIF(E15,"Backup")+COUNTIF(G15,"Backup")+COUNTIF(I15,"Backup")</f>
        <v>0</v>
      </c>
      <c r="K15" s="18"/>
    </row>
    <row r="16" customFormat="false" ht="23.85" hidden="false" customHeight="false" outlineLevel="0" collapsed="false">
      <c r="A16" s="12" t="n">
        <v>11</v>
      </c>
      <c r="B16" s="13" t="n">
        <v>46307</v>
      </c>
      <c r="C16" s="19" t="s">
        <v>58</v>
      </c>
      <c r="D16" s="15" t="s">
        <v>59</v>
      </c>
      <c r="E16" s="16"/>
      <c r="F16" s="15" t="s">
        <v>60</v>
      </c>
      <c r="G16" s="16"/>
      <c r="H16" s="15" t="s">
        <v>61</v>
      </c>
      <c r="I16" s="16"/>
      <c r="J16" s="17" t="n">
        <f aca="false">COUNTIF(E16,"Done")+COUNTIF(G16,"Done")+COUNTIF(I16,"Done")+COUNTIF(E16,"Backup")+COUNTIF(G16,"Backup")+COUNTIF(I16,"Backup")</f>
        <v>0</v>
      </c>
      <c r="K16" s="18"/>
    </row>
    <row r="17" customFormat="false" ht="23.85" hidden="false" customHeight="false" outlineLevel="0" collapsed="false">
      <c r="A17" s="12" t="n">
        <v>12</v>
      </c>
      <c r="B17" s="13" t="n">
        <v>46314</v>
      </c>
      <c r="C17" s="19" t="s">
        <v>58</v>
      </c>
      <c r="D17" s="15" t="s">
        <v>59</v>
      </c>
      <c r="E17" s="16"/>
      <c r="F17" s="15" t="s">
        <v>60</v>
      </c>
      <c r="G17" s="16"/>
      <c r="H17" s="15" t="s">
        <v>61</v>
      </c>
      <c r="I17" s="16"/>
      <c r="J17" s="17" t="n">
        <f aca="false">COUNTIF(E17,"Done")+COUNTIF(G17,"Done")+COUNTIF(I17,"Done")+COUNTIF(E17,"Backup")+COUNTIF(G17,"Backup")+COUNTIF(I17,"Backup")</f>
        <v>0</v>
      </c>
      <c r="K17" s="18"/>
    </row>
    <row r="18" customFormat="false" ht="23.85" hidden="false" customHeight="false" outlineLevel="0" collapsed="false">
      <c r="A18" s="12" t="n">
        <v>13</v>
      </c>
      <c r="B18" s="13" t="n">
        <v>46321</v>
      </c>
      <c r="C18" s="19" t="s">
        <v>58</v>
      </c>
      <c r="D18" s="15" t="s">
        <v>59</v>
      </c>
      <c r="E18" s="16"/>
      <c r="F18" s="15" t="s">
        <v>60</v>
      </c>
      <c r="G18" s="16"/>
      <c r="H18" s="15" t="s">
        <v>61</v>
      </c>
      <c r="I18" s="16"/>
      <c r="J18" s="17" t="n">
        <f aca="false">COUNTIF(E18,"Done")+COUNTIF(G18,"Done")+COUNTIF(I18,"Done")+COUNTIF(E18,"Backup")+COUNTIF(G18,"Backup")+COUNTIF(I18,"Backup")</f>
        <v>0</v>
      </c>
      <c r="K18" s="18"/>
    </row>
    <row r="19" customFormat="false" ht="23.85" hidden="false" customHeight="false" outlineLevel="0" collapsed="false">
      <c r="A19" s="12" t="n">
        <v>14</v>
      </c>
      <c r="B19" s="13" t="n">
        <v>46328</v>
      </c>
      <c r="C19" s="19" t="s">
        <v>58</v>
      </c>
      <c r="D19" s="15" t="s">
        <v>59</v>
      </c>
      <c r="E19" s="16"/>
      <c r="F19" s="15" t="s">
        <v>60</v>
      </c>
      <c r="G19" s="16"/>
      <c r="H19" s="15" t="s">
        <v>61</v>
      </c>
      <c r="I19" s="16"/>
      <c r="J19" s="17" t="n">
        <f aca="false">COUNTIF(E19,"Done")+COUNTIF(G19,"Done")+COUNTIF(I19,"Done")+COUNTIF(E19,"Backup")+COUNTIF(G19,"Backup")+COUNTIF(I19,"Backup")</f>
        <v>0</v>
      </c>
      <c r="K19" s="18"/>
    </row>
    <row r="20" customFormat="false" ht="23.85" hidden="false" customHeight="false" outlineLevel="0" collapsed="false">
      <c r="A20" s="12" t="n">
        <v>15</v>
      </c>
      <c r="B20" s="13" t="n">
        <v>46335</v>
      </c>
      <c r="C20" s="19" t="s">
        <v>58</v>
      </c>
      <c r="D20" s="15" t="s">
        <v>59</v>
      </c>
      <c r="E20" s="16"/>
      <c r="F20" s="15" t="s">
        <v>60</v>
      </c>
      <c r="G20" s="16"/>
      <c r="H20" s="15" t="s">
        <v>61</v>
      </c>
      <c r="I20" s="16"/>
      <c r="J20" s="17" t="n">
        <f aca="false">COUNTIF(E20,"Done")+COUNTIF(G20,"Done")+COUNTIF(I20,"Done")+COUNTIF(E20,"Backup")+COUNTIF(G20,"Backup")+COUNTIF(I20,"Backup")</f>
        <v>0</v>
      </c>
      <c r="K20" s="18"/>
    </row>
    <row r="21" customFormat="false" ht="23.85" hidden="false" customHeight="false" outlineLevel="0" collapsed="false">
      <c r="A21" s="12" t="n">
        <v>16</v>
      </c>
      <c r="B21" s="13" t="n">
        <v>46342</v>
      </c>
      <c r="C21" s="19" t="s">
        <v>58</v>
      </c>
      <c r="D21" s="15" t="s">
        <v>59</v>
      </c>
      <c r="E21" s="16"/>
      <c r="F21" s="15" t="s">
        <v>60</v>
      </c>
      <c r="G21" s="16"/>
      <c r="H21" s="15" t="s">
        <v>61</v>
      </c>
      <c r="I21" s="16"/>
      <c r="J21" s="17" t="n">
        <f aca="false">COUNTIF(E21,"Done")+COUNTIF(G21,"Done")+COUNTIF(I21,"Done")+COUNTIF(E21,"Backup")+COUNTIF(G21,"Backup")+COUNTIF(I21,"Backup")</f>
        <v>0</v>
      </c>
      <c r="K21" s="18"/>
    </row>
    <row r="22" customFormat="false" ht="23.85" hidden="false" customHeight="false" outlineLevel="0" collapsed="false">
      <c r="A22" s="12" t="n">
        <v>17</v>
      </c>
      <c r="B22" s="13" t="n">
        <v>46349</v>
      </c>
      <c r="C22" s="19" t="s">
        <v>58</v>
      </c>
      <c r="D22" s="15" t="s">
        <v>62</v>
      </c>
      <c r="E22" s="16"/>
      <c r="F22" s="15" t="s">
        <v>60</v>
      </c>
      <c r="G22" s="16"/>
      <c r="H22" s="15" t="s">
        <v>61</v>
      </c>
      <c r="I22" s="16"/>
      <c r="J22" s="17" t="n">
        <f aca="false">COUNTIF(E22,"Done")+COUNTIF(G22,"Done")+COUNTIF(I22,"Done")+COUNTIF(E22,"Backup")+COUNTIF(G22,"Backup")+COUNTIF(I22,"Backup")</f>
        <v>0</v>
      </c>
      <c r="K22" s="18"/>
    </row>
    <row r="23" customFormat="false" ht="23.85" hidden="false" customHeight="false" outlineLevel="0" collapsed="false">
      <c r="A23" s="12" t="n">
        <v>18</v>
      </c>
      <c r="B23" s="13" t="n">
        <v>46356</v>
      </c>
      <c r="C23" s="19" t="s">
        <v>58</v>
      </c>
      <c r="D23" s="15" t="s">
        <v>63</v>
      </c>
      <c r="E23" s="16"/>
      <c r="F23" s="15" t="s">
        <v>60</v>
      </c>
      <c r="G23" s="16"/>
      <c r="H23" s="15" t="s">
        <v>61</v>
      </c>
      <c r="I23" s="16"/>
      <c r="J23" s="17" t="n">
        <f aca="false">COUNTIF(E23,"Done")+COUNTIF(G23,"Done")+COUNTIF(I23,"Done")+COUNTIF(E23,"Backup")+COUNTIF(G23,"Backup")+COUNTIF(I23,"Backup")</f>
        <v>0</v>
      </c>
      <c r="K23" s="18"/>
    </row>
    <row r="24" customFormat="false" ht="23.85" hidden="false" customHeight="false" outlineLevel="0" collapsed="false">
      <c r="A24" s="12" t="n">
        <v>19</v>
      </c>
      <c r="B24" s="13" t="n">
        <v>46363</v>
      </c>
      <c r="C24" s="19" t="s">
        <v>58</v>
      </c>
      <c r="D24" s="15" t="s">
        <v>62</v>
      </c>
      <c r="E24" s="16"/>
      <c r="F24" s="15" t="s">
        <v>60</v>
      </c>
      <c r="G24" s="16"/>
      <c r="H24" s="15" t="s">
        <v>61</v>
      </c>
      <c r="I24" s="16"/>
      <c r="J24" s="17" t="n">
        <f aca="false">COUNTIF(E24,"Done")+COUNTIF(G24,"Done")+COUNTIF(I24,"Done")+COUNTIF(E24,"Backup")+COUNTIF(G24,"Backup")+COUNTIF(I24,"Backup")</f>
        <v>0</v>
      </c>
      <c r="K24" s="18"/>
    </row>
    <row r="25" customFormat="false" ht="23.85" hidden="false" customHeight="false" outlineLevel="0" collapsed="false">
      <c r="A25" s="12" t="n">
        <v>20</v>
      </c>
      <c r="B25" s="13" t="n">
        <v>46370</v>
      </c>
      <c r="C25" s="19" t="s">
        <v>58</v>
      </c>
      <c r="D25" s="15" t="s">
        <v>63</v>
      </c>
      <c r="E25" s="16"/>
      <c r="F25" s="15" t="s">
        <v>60</v>
      </c>
      <c r="G25" s="16"/>
      <c r="H25" s="15" t="s">
        <v>61</v>
      </c>
      <c r="I25" s="16"/>
      <c r="J25" s="17" t="n">
        <f aca="false">COUNTIF(E25,"Done")+COUNTIF(G25,"Done")+COUNTIF(I25,"Done")+COUNTIF(E25,"Backup")+COUNTIF(G25,"Backup")+COUNTIF(I25,"Backup")</f>
        <v>0</v>
      </c>
      <c r="K25" s="18"/>
    </row>
    <row r="26" customFormat="false" ht="23.85" hidden="false" customHeight="false" outlineLevel="0" collapsed="false">
      <c r="A26" s="12" t="n">
        <v>21</v>
      </c>
      <c r="B26" s="13" t="n">
        <v>46377</v>
      </c>
      <c r="C26" s="19" t="s">
        <v>58</v>
      </c>
      <c r="D26" s="15" t="s">
        <v>62</v>
      </c>
      <c r="E26" s="16"/>
      <c r="F26" s="15" t="s">
        <v>60</v>
      </c>
      <c r="G26" s="16"/>
      <c r="H26" s="15" t="s">
        <v>61</v>
      </c>
      <c r="I26" s="16"/>
      <c r="J26" s="17" t="n">
        <f aca="false">COUNTIF(E26,"Done")+COUNTIF(G26,"Done")+COUNTIF(I26,"Done")+COUNTIF(E26,"Backup")+COUNTIF(G26,"Backup")+COUNTIF(I26,"Backup")</f>
        <v>0</v>
      </c>
      <c r="K26" s="18"/>
    </row>
    <row r="27" customFormat="false" ht="23.85" hidden="false" customHeight="false" outlineLevel="0" collapsed="false">
      <c r="A27" s="12" t="n">
        <v>22</v>
      </c>
      <c r="B27" s="13" t="n">
        <v>46384</v>
      </c>
      <c r="C27" s="19" t="s">
        <v>58</v>
      </c>
      <c r="D27" s="15" t="s">
        <v>63</v>
      </c>
      <c r="E27" s="16"/>
      <c r="F27" s="15" t="s">
        <v>60</v>
      </c>
      <c r="G27" s="16"/>
      <c r="H27" s="15" t="s">
        <v>61</v>
      </c>
      <c r="I27" s="16"/>
      <c r="J27" s="17" t="n">
        <f aca="false">COUNTIF(E27,"Done")+COUNTIF(G27,"Done")+COUNTIF(I27,"Done")+COUNTIF(E27,"Backup")+COUNTIF(G27,"Backup")+COUNTIF(I27,"Backup")</f>
        <v>0</v>
      </c>
      <c r="K27" s="18"/>
    </row>
    <row r="28" customFormat="false" ht="23.85" hidden="false" customHeight="false" outlineLevel="0" collapsed="false">
      <c r="A28" s="12" t="n">
        <v>23</v>
      </c>
      <c r="B28" s="13" t="n">
        <v>46391</v>
      </c>
      <c r="C28" s="19" t="s">
        <v>58</v>
      </c>
      <c r="D28" s="15" t="s">
        <v>62</v>
      </c>
      <c r="E28" s="16"/>
      <c r="F28" s="15" t="s">
        <v>60</v>
      </c>
      <c r="G28" s="16"/>
      <c r="H28" s="15" t="s">
        <v>61</v>
      </c>
      <c r="I28" s="16"/>
      <c r="J28" s="17" t="n">
        <f aca="false">COUNTIF(E28,"Done")+COUNTIF(G28,"Done")+COUNTIF(I28,"Done")+COUNTIF(E28,"Backup")+COUNTIF(G28,"Backup")+COUNTIF(I28,"Backup")</f>
        <v>0</v>
      </c>
      <c r="K28" s="18"/>
    </row>
    <row r="29" customFormat="false" ht="23.85" hidden="false" customHeight="false" outlineLevel="0" collapsed="false">
      <c r="A29" s="12" t="n">
        <v>24</v>
      </c>
      <c r="B29" s="13" t="n">
        <v>46398</v>
      </c>
      <c r="C29" s="19" t="s">
        <v>58</v>
      </c>
      <c r="D29" s="15" t="s">
        <v>63</v>
      </c>
      <c r="E29" s="16"/>
      <c r="F29" s="15" t="s">
        <v>60</v>
      </c>
      <c r="G29" s="16"/>
      <c r="H29" s="15" t="s">
        <v>61</v>
      </c>
      <c r="I29" s="16"/>
      <c r="J29" s="17" t="n">
        <f aca="false">COUNTIF(E29,"Done")+COUNTIF(G29,"Done")+COUNTIF(I29,"Done")+COUNTIF(E29,"Backup")+COUNTIF(G29,"Backup")+COUNTIF(I29,"Backup")</f>
        <v>0</v>
      </c>
      <c r="K29" s="18"/>
    </row>
    <row r="30" customFormat="false" ht="23.85" hidden="false" customHeight="false" outlineLevel="0" collapsed="false">
      <c r="A30" s="12" t="n">
        <v>25</v>
      </c>
      <c r="B30" s="13" t="n">
        <v>46405</v>
      </c>
      <c r="C30" s="20" t="s">
        <v>64</v>
      </c>
      <c r="D30" s="15" t="s">
        <v>65</v>
      </c>
      <c r="E30" s="16"/>
      <c r="F30" s="15" t="s">
        <v>66</v>
      </c>
      <c r="G30" s="16"/>
      <c r="H30" s="15" t="s">
        <v>67</v>
      </c>
      <c r="I30" s="16"/>
      <c r="J30" s="17" t="n">
        <f aca="false">COUNTIF(E30,"Done")+COUNTIF(G30,"Done")+COUNTIF(I30,"Done")+COUNTIF(E30,"Backup")+COUNTIF(G30,"Backup")+COUNTIF(I30,"Backup")</f>
        <v>0</v>
      </c>
      <c r="K30" s="18"/>
    </row>
    <row r="31" customFormat="false" ht="23.85" hidden="false" customHeight="false" outlineLevel="0" collapsed="false">
      <c r="A31" s="12" t="n">
        <v>26</v>
      </c>
      <c r="B31" s="13" t="n">
        <v>46412</v>
      </c>
      <c r="C31" s="20" t="s">
        <v>64</v>
      </c>
      <c r="D31" s="15" t="s">
        <v>65</v>
      </c>
      <c r="E31" s="16"/>
      <c r="F31" s="15" t="s">
        <v>66</v>
      </c>
      <c r="G31" s="16"/>
      <c r="H31" s="15" t="s">
        <v>67</v>
      </c>
      <c r="I31" s="16"/>
      <c r="J31" s="17" t="n">
        <f aca="false">COUNTIF(E31,"Done")+COUNTIF(G31,"Done")+COUNTIF(I31,"Done")+COUNTIF(E31,"Backup")+COUNTIF(G31,"Backup")+COUNTIF(I31,"Backup")</f>
        <v>0</v>
      </c>
      <c r="K31" s="18"/>
    </row>
    <row r="32" customFormat="false" ht="23.85" hidden="false" customHeight="false" outlineLevel="0" collapsed="false">
      <c r="A32" s="12" t="n">
        <v>27</v>
      </c>
      <c r="B32" s="13" t="n">
        <v>46419</v>
      </c>
      <c r="C32" s="20" t="s">
        <v>64</v>
      </c>
      <c r="D32" s="15" t="s">
        <v>68</v>
      </c>
      <c r="E32" s="16"/>
      <c r="F32" s="15" t="s">
        <v>66</v>
      </c>
      <c r="G32" s="16"/>
      <c r="H32" s="15" t="s">
        <v>67</v>
      </c>
      <c r="I32" s="16"/>
      <c r="J32" s="17" t="n">
        <f aca="false">COUNTIF(E32,"Done")+COUNTIF(G32,"Done")+COUNTIF(I32,"Done")+COUNTIF(E32,"Backup")+COUNTIF(G32,"Backup")+COUNTIF(I32,"Backup")</f>
        <v>0</v>
      </c>
      <c r="K32" s="18"/>
    </row>
    <row r="33" customFormat="false" ht="23.85" hidden="false" customHeight="false" outlineLevel="0" collapsed="false">
      <c r="A33" s="12" t="n">
        <v>28</v>
      </c>
      <c r="B33" s="13" t="n">
        <v>46426</v>
      </c>
      <c r="C33" s="20" t="s">
        <v>64</v>
      </c>
      <c r="D33" s="15" t="s">
        <v>68</v>
      </c>
      <c r="E33" s="16"/>
      <c r="F33" s="15" t="s">
        <v>66</v>
      </c>
      <c r="G33" s="16"/>
      <c r="H33" s="15" t="s">
        <v>67</v>
      </c>
      <c r="I33" s="16"/>
      <c r="J33" s="17" t="n">
        <f aca="false">COUNTIF(E33,"Done")+COUNTIF(G33,"Done")+COUNTIF(I33,"Done")+COUNTIF(E33,"Backup")+COUNTIF(G33,"Backup")+COUNTIF(I33,"Backup")</f>
        <v>0</v>
      </c>
      <c r="K33" s="18"/>
    </row>
    <row r="34" customFormat="false" ht="23.85" hidden="false" customHeight="false" outlineLevel="0" collapsed="false">
      <c r="A34" s="12" t="n">
        <v>29</v>
      </c>
      <c r="B34" s="13" t="n">
        <v>46433</v>
      </c>
      <c r="C34" s="20" t="s">
        <v>64</v>
      </c>
      <c r="D34" s="15" t="s">
        <v>69</v>
      </c>
      <c r="E34" s="16"/>
      <c r="F34" s="15" t="s">
        <v>66</v>
      </c>
      <c r="G34" s="16"/>
      <c r="H34" s="15" t="s">
        <v>67</v>
      </c>
      <c r="I34" s="16"/>
      <c r="J34" s="17" t="n">
        <f aca="false">COUNTIF(E34,"Done")+COUNTIF(G34,"Done")+COUNTIF(I34,"Done")+COUNTIF(E34,"Backup")+COUNTIF(G34,"Backup")+COUNTIF(I34,"Backup")</f>
        <v>0</v>
      </c>
      <c r="K34" s="18"/>
    </row>
    <row r="35" customFormat="false" ht="23.85" hidden="false" customHeight="false" outlineLevel="0" collapsed="false">
      <c r="A35" s="12" t="n">
        <v>30</v>
      </c>
      <c r="B35" s="13" t="n">
        <v>46440</v>
      </c>
      <c r="C35" s="20" t="s">
        <v>64</v>
      </c>
      <c r="D35" s="15" t="s">
        <v>70</v>
      </c>
      <c r="E35" s="16"/>
      <c r="F35" s="15" t="s">
        <v>66</v>
      </c>
      <c r="G35" s="16"/>
      <c r="H35" s="15" t="s">
        <v>67</v>
      </c>
      <c r="I35" s="16"/>
      <c r="J35" s="17" t="n">
        <f aca="false">COUNTIF(E35,"Done")+COUNTIF(G35,"Done")+COUNTIF(I35,"Done")+COUNTIF(E35,"Backup")+COUNTIF(G35,"Backup")+COUNTIF(I35,"Backup")</f>
        <v>0</v>
      </c>
      <c r="K35" s="18"/>
    </row>
    <row r="36" customFormat="false" ht="23.85" hidden="false" customHeight="false" outlineLevel="0" collapsed="false">
      <c r="A36" s="12" t="n">
        <v>31</v>
      </c>
      <c r="B36" s="13" t="n">
        <v>46447</v>
      </c>
      <c r="C36" s="20" t="s">
        <v>64</v>
      </c>
      <c r="D36" s="15" t="s">
        <v>71</v>
      </c>
      <c r="E36" s="16"/>
      <c r="F36" s="15" t="s">
        <v>66</v>
      </c>
      <c r="G36" s="16"/>
      <c r="H36" s="15" t="s">
        <v>67</v>
      </c>
      <c r="I36" s="16"/>
      <c r="J36" s="17" t="n">
        <f aca="false">COUNTIF(E36,"Done")+COUNTIF(G36,"Done")+COUNTIF(I36,"Done")+COUNTIF(E36,"Backup")+COUNTIF(G36,"Backup")+COUNTIF(I36,"Backup")</f>
        <v>0</v>
      </c>
      <c r="K36" s="18"/>
    </row>
    <row r="37" customFormat="false" ht="23.85" hidden="false" customHeight="false" outlineLevel="0" collapsed="false">
      <c r="A37" s="12" t="n">
        <v>32</v>
      </c>
      <c r="B37" s="13" t="n">
        <v>46454</v>
      </c>
      <c r="C37" s="20" t="s">
        <v>64</v>
      </c>
      <c r="D37" s="15" t="s">
        <v>72</v>
      </c>
      <c r="E37" s="16"/>
      <c r="F37" s="15" t="s">
        <v>66</v>
      </c>
      <c r="G37" s="16"/>
      <c r="H37" s="15" t="s">
        <v>67</v>
      </c>
      <c r="I37" s="16"/>
      <c r="J37" s="17" t="n">
        <f aca="false">COUNTIF(E37,"Done")+COUNTIF(G37,"Done")+COUNTIF(I37,"Done")+COUNTIF(E37,"Backup")+COUNTIF(G37,"Backup")+COUNTIF(I37,"Backup")</f>
        <v>0</v>
      </c>
      <c r="K37" s="18"/>
    </row>
    <row r="38" customFormat="false" ht="23.85" hidden="false" customHeight="false" outlineLevel="0" collapsed="false">
      <c r="A38" s="12" t="n">
        <v>33</v>
      </c>
      <c r="B38" s="13" t="n">
        <v>46461</v>
      </c>
      <c r="C38" s="20" t="s">
        <v>64</v>
      </c>
      <c r="D38" s="15" t="s">
        <v>73</v>
      </c>
      <c r="E38" s="16"/>
      <c r="F38" s="15" t="s">
        <v>66</v>
      </c>
      <c r="G38" s="16"/>
      <c r="H38" s="15" t="s">
        <v>67</v>
      </c>
      <c r="I38" s="16"/>
      <c r="J38" s="17" t="n">
        <f aca="false">COUNTIF(E38,"Done")+COUNTIF(G38,"Done")+COUNTIF(I38,"Done")+COUNTIF(E38,"Backup")+COUNTIF(G38,"Backup")+COUNTIF(I38,"Backup")</f>
        <v>0</v>
      </c>
      <c r="K38" s="18"/>
    </row>
    <row r="39" customFormat="false" ht="23.85" hidden="false" customHeight="false" outlineLevel="0" collapsed="false">
      <c r="A39" s="12" t="n">
        <v>34</v>
      </c>
      <c r="B39" s="13" t="n">
        <v>46468</v>
      </c>
      <c r="C39" s="20" t="s">
        <v>64</v>
      </c>
      <c r="D39" s="15" t="s">
        <v>71</v>
      </c>
      <c r="E39" s="16"/>
      <c r="F39" s="15" t="s">
        <v>66</v>
      </c>
      <c r="G39" s="16"/>
      <c r="H39" s="15" t="s">
        <v>67</v>
      </c>
      <c r="I39" s="16"/>
      <c r="J39" s="17" t="n">
        <f aca="false">COUNTIF(E39,"Done")+COUNTIF(G39,"Done")+COUNTIF(I39,"Done")+COUNTIF(E39,"Backup")+COUNTIF(G39,"Backup")+COUNTIF(I39,"Backup")</f>
        <v>0</v>
      </c>
      <c r="K39" s="18"/>
    </row>
    <row r="40" customFormat="false" ht="23.85" hidden="false" customHeight="false" outlineLevel="0" collapsed="false">
      <c r="A40" s="12" t="n">
        <v>35</v>
      </c>
      <c r="B40" s="13" t="n">
        <v>46475</v>
      </c>
      <c r="C40" s="20" t="s">
        <v>64</v>
      </c>
      <c r="D40" s="15" t="s">
        <v>72</v>
      </c>
      <c r="E40" s="16"/>
      <c r="F40" s="15" t="s">
        <v>66</v>
      </c>
      <c r="G40" s="16"/>
      <c r="H40" s="15" t="s">
        <v>67</v>
      </c>
      <c r="I40" s="16"/>
      <c r="J40" s="17" t="n">
        <f aca="false">COUNTIF(E40,"Done")+COUNTIF(G40,"Done")+COUNTIF(I40,"Done")+COUNTIF(E40,"Backup")+COUNTIF(G40,"Backup")+COUNTIF(I40,"Backup")</f>
        <v>0</v>
      </c>
      <c r="K40" s="18"/>
    </row>
    <row r="41" customFormat="false" ht="23.85" hidden="false" customHeight="false" outlineLevel="0" collapsed="false">
      <c r="A41" s="12" t="n">
        <v>36</v>
      </c>
      <c r="B41" s="13" t="n">
        <v>46482</v>
      </c>
      <c r="C41" s="20" t="s">
        <v>64</v>
      </c>
      <c r="D41" s="15" t="s">
        <v>73</v>
      </c>
      <c r="E41" s="16"/>
      <c r="F41" s="15" t="s">
        <v>66</v>
      </c>
      <c r="G41" s="16"/>
      <c r="H41" s="15" t="s">
        <v>67</v>
      </c>
      <c r="I41" s="16"/>
      <c r="J41" s="17" t="n">
        <f aca="false">COUNTIF(E41,"Done")+COUNTIF(G41,"Done")+COUNTIF(I41,"Done")+COUNTIF(E41,"Backup")+COUNTIF(G41,"Backup")+COUNTIF(I41,"Backup")</f>
        <v>0</v>
      </c>
      <c r="K41" s="18"/>
    </row>
    <row r="42" customFormat="false" ht="23.85" hidden="false" customHeight="false" outlineLevel="0" collapsed="false">
      <c r="A42" s="12" t="n">
        <v>37</v>
      </c>
      <c r="B42" s="13" t="n">
        <v>46489</v>
      </c>
      <c r="C42" s="20" t="s">
        <v>64</v>
      </c>
      <c r="D42" s="15" t="s">
        <v>71</v>
      </c>
      <c r="E42" s="16"/>
      <c r="F42" s="15" t="s">
        <v>66</v>
      </c>
      <c r="G42" s="16"/>
      <c r="H42" s="15" t="s">
        <v>67</v>
      </c>
      <c r="I42" s="16"/>
      <c r="J42" s="17" t="n">
        <f aca="false">COUNTIF(E42,"Done")+COUNTIF(G42,"Done")+COUNTIF(I42,"Done")+COUNTIF(E42,"Backup")+COUNTIF(G42,"Backup")+COUNTIF(I42,"Backup")</f>
        <v>0</v>
      </c>
      <c r="K42" s="18"/>
    </row>
    <row r="43" customFormat="false" ht="23.85" hidden="false" customHeight="false" outlineLevel="0" collapsed="false">
      <c r="A43" s="12" t="n">
        <v>38</v>
      </c>
      <c r="B43" s="13" t="n">
        <v>46496</v>
      </c>
      <c r="C43" s="20" t="s">
        <v>64</v>
      </c>
      <c r="D43" s="15" t="s">
        <v>72</v>
      </c>
      <c r="E43" s="16"/>
      <c r="F43" s="15" t="s">
        <v>66</v>
      </c>
      <c r="G43" s="16"/>
      <c r="H43" s="15" t="s">
        <v>67</v>
      </c>
      <c r="I43" s="16"/>
      <c r="J43" s="17" t="n">
        <f aca="false">COUNTIF(E43,"Done")+COUNTIF(G43,"Done")+COUNTIF(I43,"Done")+COUNTIF(E43,"Backup")+COUNTIF(G43,"Backup")+COUNTIF(I43,"Backup")</f>
        <v>0</v>
      </c>
      <c r="K43" s="18"/>
    </row>
    <row r="44" customFormat="false" ht="23.85" hidden="false" customHeight="false" outlineLevel="0" collapsed="false">
      <c r="A44" s="12" t="n">
        <v>39</v>
      </c>
      <c r="B44" s="13" t="n">
        <v>46503</v>
      </c>
      <c r="C44" s="21" t="s">
        <v>74</v>
      </c>
      <c r="D44" s="15" t="s">
        <v>75</v>
      </c>
      <c r="E44" s="16"/>
      <c r="F44" s="15" t="s">
        <v>66</v>
      </c>
      <c r="G44" s="16"/>
      <c r="H44" s="15" t="s">
        <v>76</v>
      </c>
      <c r="I44" s="16"/>
      <c r="J44" s="17" t="n">
        <f aca="false">COUNTIF(E44,"Done")+COUNTIF(G44,"Done")+COUNTIF(I44,"Done")+COUNTIF(E44,"Backup")+COUNTIF(G44,"Backup")+COUNTIF(I44,"Backup")</f>
        <v>0</v>
      </c>
      <c r="K44" s="18"/>
    </row>
    <row r="45" customFormat="false" ht="23.85" hidden="false" customHeight="false" outlineLevel="0" collapsed="false">
      <c r="A45" s="12" t="n">
        <v>40</v>
      </c>
      <c r="B45" s="13" t="n">
        <v>46510</v>
      </c>
      <c r="C45" s="21" t="s">
        <v>74</v>
      </c>
      <c r="D45" s="15" t="s">
        <v>75</v>
      </c>
      <c r="E45" s="16"/>
      <c r="F45" s="15" t="s">
        <v>66</v>
      </c>
      <c r="G45" s="16"/>
      <c r="H45" s="15" t="s">
        <v>76</v>
      </c>
      <c r="I45" s="16"/>
      <c r="J45" s="17" t="n">
        <f aca="false">COUNTIF(E45,"Done")+COUNTIF(G45,"Done")+COUNTIF(I45,"Done")+COUNTIF(E45,"Backup")+COUNTIF(G45,"Backup")+COUNTIF(I45,"Backup")</f>
        <v>0</v>
      </c>
      <c r="K45" s="18"/>
    </row>
    <row r="46" customFormat="false" ht="23.85" hidden="false" customHeight="false" outlineLevel="0" collapsed="false">
      <c r="A46" s="12" t="n">
        <v>41</v>
      </c>
      <c r="B46" s="13" t="n">
        <v>46517</v>
      </c>
      <c r="C46" s="21" t="s">
        <v>74</v>
      </c>
      <c r="D46" s="15" t="s">
        <v>75</v>
      </c>
      <c r="E46" s="16"/>
      <c r="F46" s="15" t="s">
        <v>66</v>
      </c>
      <c r="G46" s="16"/>
      <c r="H46" s="15" t="s">
        <v>76</v>
      </c>
      <c r="I46" s="16"/>
      <c r="J46" s="17" t="n">
        <f aca="false">COUNTIF(E46,"Done")+COUNTIF(G46,"Done")+COUNTIF(I46,"Done")+COUNTIF(E46,"Backup")+COUNTIF(G46,"Backup")+COUNTIF(I46,"Backup")</f>
        <v>0</v>
      </c>
      <c r="K46" s="18"/>
    </row>
    <row r="47" customFormat="false" ht="23.85" hidden="false" customHeight="false" outlineLevel="0" collapsed="false">
      <c r="A47" s="12" t="n">
        <v>42</v>
      </c>
      <c r="B47" s="13" t="n">
        <v>46524</v>
      </c>
      <c r="C47" s="21" t="s">
        <v>74</v>
      </c>
      <c r="D47" s="15" t="s">
        <v>75</v>
      </c>
      <c r="E47" s="16"/>
      <c r="F47" s="15" t="s">
        <v>66</v>
      </c>
      <c r="G47" s="16"/>
      <c r="H47" s="15" t="s">
        <v>76</v>
      </c>
      <c r="I47" s="16"/>
      <c r="J47" s="17" t="n">
        <f aca="false">COUNTIF(E47,"Done")+COUNTIF(G47,"Done")+COUNTIF(I47,"Done")+COUNTIF(E47,"Backup")+COUNTIF(G47,"Backup")+COUNTIF(I47,"Backup")</f>
        <v>0</v>
      </c>
      <c r="K47" s="18"/>
    </row>
    <row r="48" customFormat="false" ht="23.85" hidden="false" customHeight="false" outlineLevel="0" collapsed="false">
      <c r="A48" s="12" t="n">
        <v>43</v>
      </c>
      <c r="B48" s="13" t="n">
        <v>46531</v>
      </c>
      <c r="C48" s="21" t="s">
        <v>74</v>
      </c>
      <c r="D48" s="15" t="s">
        <v>75</v>
      </c>
      <c r="E48" s="16"/>
      <c r="F48" s="15" t="s">
        <v>66</v>
      </c>
      <c r="G48" s="16"/>
      <c r="H48" s="15" t="s">
        <v>76</v>
      </c>
      <c r="I48" s="16"/>
      <c r="J48" s="17" t="n">
        <f aca="false">COUNTIF(E48,"Done")+COUNTIF(G48,"Done")+COUNTIF(I48,"Done")+COUNTIF(E48,"Backup")+COUNTIF(G48,"Backup")+COUNTIF(I48,"Backup")</f>
        <v>0</v>
      </c>
      <c r="K48" s="18"/>
    </row>
    <row r="49" customFormat="false" ht="23.85" hidden="false" customHeight="false" outlineLevel="0" collapsed="false">
      <c r="A49" s="12" t="n">
        <v>44</v>
      </c>
      <c r="B49" s="13" t="n">
        <v>46538</v>
      </c>
      <c r="C49" s="21" t="s">
        <v>74</v>
      </c>
      <c r="D49" s="15" t="s">
        <v>75</v>
      </c>
      <c r="E49" s="16"/>
      <c r="F49" s="15" t="s">
        <v>66</v>
      </c>
      <c r="G49" s="16"/>
      <c r="H49" s="15" t="s">
        <v>76</v>
      </c>
      <c r="I49" s="16"/>
      <c r="J49" s="17" t="n">
        <f aca="false">COUNTIF(E49,"Done")+COUNTIF(G49,"Done")+COUNTIF(I49,"Done")+COUNTIF(E49,"Backup")+COUNTIF(G49,"Backup")+COUNTIF(I49,"Backup")</f>
        <v>0</v>
      </c>
      <c r="K49" s="18"/>
    </row>
    <row r="50" customFormat="false" ht="23.85" hidden="false" customHeight="false" outlineLevel="0" collapsed="false">
      <c r="A50" s="12" t="n">
        <v>45</v>
      </c>
      <c r="B50" s="13" t="n">
        <v>46545</v>
      </c>
      <c r="C50" s="21" t="s">
        <v>74</v>
      </c>
      <c r="D50" s="15" t="s">
        <v>75</v>
      </c>
      <c r="E50" s="16"/>
      <c r="F50" s="15" t="s">
        <v>66</v>
      </c>
      <c r="G50" s="16"/>
      <c r="H50" s="15" t="s">
        <v>76</v>
      </c>
      <c r="I50" s="16"/>
      <c r="J50" s="17" t="n">
        <f aca="false">COUNTIF(E50,"Done")+COUNTIF(G50,"Done")+COUNTIF(I50,"Done")+COUNTIF(E50,"Backup")+COUNTIF(G50,"Backup")+COUNTIF(I50,"Backup")</f>
        <v>0</v>
      </c>
      <c r="K50" s="18"/>
    </row>
    <row r="51" customFormat="false" ht="15" hidden="false" customHeight="false" outlineLevel="0" collapsed="false">
      <c r="A51" s="12" t="n">
        <v>46</v>
      </c>
      <c r="B51" s="13" t="n">
        <v>46552</v>
      </c>
      <c r="C51" s="21" t="s">
        <v>74</v>
      </c>
      <c r="D51" s="15" t="s">
        <v>77</v>
      </c>
      <c r="E51" s="16"/>
      <c r="F51" s="15" t="s">
        <v>78</v>
      </c>
      <c r="G51" s="16"/>
      <c r="H51" s="15" t="s">
        <v>79</v>
      </c>
      <c r="I51" s="16"/>
      <c r="J51" s="17" t="n">
        <f aca="false">COUNTIF(E51,"Done")+COUNTIF(G51,"Done")+COUNTIF(I51,"Done")+COUNTIF(E51,"Backup")+COUNTIF(G51,"Backup")+COUNTIF(I51,"Backup")</f>
        <v>0</v>
      </c>
      <c r="K51" s="18"/>
    </row>
    <row r="52" customFormat="false" ht="23.85" hidden="false" customHeight="false" outlineLevel="0" collapsed="false">
      <c r="A52" s="12" t="n">
        <v>47</v>
      </c>
      <c r="B52" s="13" t="n">
        <v>46559</v>
      </c>
      <c r="C52" s="21" t="s">
        <v>74</v>
      </c>
      <c r="D52" s="15" t="s">
        <v>80</v>
      </c>
      <c r="E52" s="16"/>
      <c r="F52" s="15" t="s">
        <v>81</v>
      </c>
      <c r="G52" s="16"/>
      <c r="H52" s="15" t="s">
        <v>82</v>
      </c>
      <c r="I52" s="16"/>
      <c r="J52" s="17" t="n">
        <f aca="false">COUNTIF(E52,"Done")+COUNTIF(G52,"Done")+COUNTIF(I52,"Done")+COUNTIF(E52,"Backup")+COUNTIF(G52,"Backup")+COUNTIF(I52,"Backup")</f>
        <v>0</v>
      </c>
      <c r="K52" s="18"/>
    </row>
    <row r="54" customFormat="false" ht="15" hidden="false" customHeight="false" outlineLevel="0" collapsed="false">
      <c r="A54" s="22" t="s">
        <v>83</v>
      </c>
      <c r="J54" s="22" t="n">
        <f aca="false">SUM(J6:J52)</f>
        <v>0</v>
      </c>
      <c r="K54" s="2" t="s">
        <v>84</v>
      </c>
    </row>
  </sheetData>
  <dataValidations count="1">
    <dataValidation allowBlank="true" errorStyle="stop" operator="between" showDropDown="false" showErrorMessage="false" showInputMessage="false" sqref="E6:E52 G6:G52 I6:I52" type="list">
      <formula1>"Done,Backup,Partial,Missed"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15" hidden="false" customHeight="false" outlineLevel="0" collapsed="false">
      <c r="A3" s="10" t="s">
        <v>87</v>
      </c>
    </row>
    <row r="5" customFormat="false" ht="15" hidden="false" customHeight="false" outlineLevel="0" collapsed="false">
      <c r="A5" s="11" t="s">
        <v>88</v>
      </c>
      <c r="B5" s="11" t="s">
        <v>89</v>
      </c>
      <c r="C5" s="11" t="s">
        <v>90</v>
      </c>
      <c r="D5" s="11" t="s">
        <v>91</v>
      </c>
    </row>
    <row r="6" customFormat="false" ht="15" hidden="false" customHeight="false" outlineLevel="0" collapsed="false">
      <c r="A6" s="23" t="n">
        <v>46239</v>
      </c>
      <c r="B6" s="24" t="n">
        <v>22</v>
      </c>
      <c r="C6" s="24" t="s">
        <v>92</v>
      </c>
      <c r="D6" s="24" t="s">
        <v>93</v>
      </c>
    </row>
    <row r="7" customFormat="false" ht="15" hidden="false" customHeight="false" outlineLevel="0" collapsed="false">
      <c r="A7" s="25"/>
      <c r="B7" s="16"/>
      <c r="C7" s="16"/>
      <c r="D7" s="18"/>
    </row>
    <row r="8" customFormat="false" ht="15" hidden="false" customHeight="false" outlineLevel="0" collapsed="false">
      <c r="A8" s="25"/>
      <c r="B8" s="16"/>
      <c r="C8" s="16"/>
      <c r="D8" s="18"/>
    </row>
    <row r="9" customFormat="false" ht="15" hidden="false" customHeight="false" outlineLevel="0" collapsed="false">
      <c r="A9" s="25"/>
      <c r="B9" s="16"/>
      <c r="C9" s="16"/>
      <c r="D9" s="18"/>
    </row>
    <row r="10" customFormat="false" ht="15" hidden="false" customHeight="false" outlineLevel="0" collapsed="false">
      <c r="A10" s="25"/>
      <c r="B10" s="16"/>
      <c r="C10" s="16"/>
      <c r="D10" s="18"/>
    </row>
    <row r="11" customFormat="false" ht="15" hidden="false" customHeight="false" outlineLevel="0" collapsed="false">
      <c r="A11" s="25"/>
      <c r="B11" s="16"/>
      <c r="C11" s="16"/>
      <c r="D11" s="18"/>
    </row>
    <row r="12" customFormat="false" ht="15" hidden="false" customHeight="false" outlineLevel="0" collapsed="false">
      <c r="A12" s="25"/>
      <c r="B12" s="16"/>
      <c r="C12" s="16"/>
      <c r="D12" s="18"/>
    </row>
    <row r="13" customFormat="false" ht="15" hidden="false" customHeight="false" outlineLevel="0" collapsed="false">
      <c r="A13" s="25"/>
      <c r="B13" s="16"/>
      <c r="C13" s="16"/>
      <c r="D13" s="18"/>
    </row>
    <row r="14" customFormat="false" ht="15" hidden="false" customHeight="false" outlineLevel="0" collapsed="false">
      <c r="A14" s="25"/>
      <c r="B14" s="16"/>
      <c r="C14" s="16"/>
      <c r="D14" s="18"/>
    </row>
    <row r="15" customFormat="false" ht="15" hidden="false" customHeight="false" outlineLevel="0" collapsed="false">
      <c r="A15" s="25"/>
      <c r="B15" s="16"/>
      <c r="C15" s="16"/>
      <c r="D15" s="18"/>
    </row>
    <row r="16" customFormat="false" ht="15" hidden="false" customHeight="false" outlineLevel="0" collapsed="false">
      <c r="A16" s="25"/>
      <c r="B16" s="16"/>
      <c r="C16" s="16"/>
      <c r="D16" s="18"/>
    </row>
    <row r="17" customFormat="false" ht="15" hidden="false" customHeight="false" outlineLevel="0" collapsed="false">
      <c r="A17" s="25"/>
      <c r="B17" s="16"/>
      <c r="C17" s="16"/>
      <c r="D17" s="18"/>
    </row>
    <row r="18" customFormat="false" ht="15" hidden="false" customHeight="false" outlineLevel="0" collapsed="false">
      <c r="A18" s="25"/>
      <c r="B18" s="16"/>
      <c r="C18" s="16"/>
      <c r="D18" s="18"/>
    </row>
    <row r="19" customFormat="false" ht="15" hidden="false" customHeight="false" outlineLevel="0" collapsed="false">
      <c r="A19" s="25"/>
      <c r="B19" s="16"/>
      <c r="C19" s="16"/>
      <c r="D19" s="18"/>
    </row>
    <row r="20" customFormat="false" ht="15" hidden="false" customHeight="false" outlineLevel="0" collapsed="false">
      <c r="A20" s="25"/>
      <c r="B20" s="16"/>
      <c r="C20" s="16"/>
      <c r="D20" s="18"/>
    </row>
    <row r="21" customFormat="false" ht="15" hidden="false" customHeight="false" outlineLevel="0" collapsed="false">
      <c r="A21" s="25"/>
      <c r="B21" s="16"/>
      <c r="C21" s="16"/>
      <c r="D21" s="18"/>
    </row>
    <row r="22" customFormat="false" ht="15" hidden="false" customHeight="false" outlineLevel="0" collapsed="false">
      <c r="A22" s="25"/>
      <c r="B22" s="16"/>
      <c r="C22" s="16"/>
      <c r="D22" s="18"/>
    </row>
    <row r="23" customFormat="false" ht="15" hidden="false" customHeight="false" outlineLevel="0" collapsed="false">
      <c r="A23" s="25"/>
      <c r="B23" s="16"/>
      <c r="C23" s="16"/>
      <c r="D23" s="18"/>
    </row>
    <row r="24" customFormat="false" ht="15" hidden="false" customHeight="false" outlineLevel="0" collapsed="false">
      <c r="A24" s="25"/>
      <c r="B24" s="16"/>
      <c r="C24" s="16"/>
      <c r="D24" s="18"/>
    </row>
    <row r="25" customFormat="false" ht="15" hidden="false" customHeight="false" outlineLevel="0" collapsed="false">
      <c r="A25" s="25"/>
      <c r="B25" s="16"/>
      <c r="C25" s="16"/>
      <c r="D25" s="18"/>
    </row>
    <row r="26" customFormat="false" ht="15" hidden="false" customHeight="false" outlineLevel="0" collapsed="false">
      <c r="A26" s="25"/>
      <c r="B26" s="16"/>
      <c r="C26" s="16"/>
      <c r="D26" s="18"/>
    </row>
    <row r="27" customFormat="false" ht="15" hidden="false" customHeight="false" outlineLevel="0" collapsed="false">
      <c r="A27" s="25"/>
      <c r="B27" s="16"/>
      <c r="C27" s="16"/>
      <c r="D27" s="18"/>
    </row>
    <row r="28" customFormat="false" ht="15" hidden="false" customHeight="false" outlineLevel="0" collapsed="false">
      <c r="A28" s="25"/>
      <c r="B28" s="16"/>
      <c r="C28" s="16"/>
      <c r="D28" s="18"/>
    </row>
    <row r="29" customFormat="false" ht="15" hidden="false" customHeight="false" outlineLevel="0" collapsed="false">
      <c r="A29" s="25"/>
      <c r="B29" s="16"/>
      <c r="C29" s="16"/>
      <c r="D29" s="18"/>
    </row>
    <row r="30" customFormat="false" ht="15" hidden="false" customHeight="false" outlineLevel="0" collapsed="false">
      <c r="A30" s="25"/>
      <c r="B30" s="16"/>
      <c r="C30" s="16"/>
      <c r="D30" s="18"/>
    </row>
    <row r="31" customFormat="false" ht="15" hidden="false" customHeight="false" outlineLevel="0" collapsed="false">
      <c r="A31" s="25"/>
      <c r="B31" s="16"/>
      <c r="C31" s="16"/>
      <c r="D31" s="18"/>
    </row>
    <row r="32" customFormat="false" ht="15" hidden="false" customHeight="false" outlineLevel="0" collapsed="false">
      <c r="A32" s="25"/>
      <c r="B32" s="16"/>
      <c r="C32" s="16"/>
      <c r="D32" s="18"/>
    </row>
    <row r="33" customFormat="false" ht="15" hidden="false" customHeight="false" outlineLevel="0" collapsed="false">
      <c r="A33" s="25"/>
      <c r="B33" s="16"/>
      <c r="C33" s="16"/>
      <c r="D33" s="18"/>
    </row>
    <row r="34" customFormat="false" ht="15" hidden="false" customHeight="false" outlineLevel="0" collapsed="false">
      <c r="A34" s="25"/>
      <c r="B34" s="16"/>
      <c r="C34" s="16"/>
      <c r="D34" s="18"/>
    </row>
    <row r="35" customFormat="false" ht="15" hidden="false" customHeight="false" outlineLevel="0" collapsed="false">
      <c r="A35" s="25"/>
      <c r="B35" s="16"/>
      <c r="C35" s="16"/>
      <c r="D35" s="18"/>
    </row>
    <row r="36" customFormat="false" ht="15" hidden="false" customHeight="false" outlineLevel="0" collapsed="false">
      <c r="A36" s="25"/>
      <c r="B36" s="16"/>
      <c r="C36" s="16"/>
      <c r="D36" s="18"/>
    </row>
    <row r="37" customFormat="false" ht="15" hidden="false" customHeight="false" outlineLevel="0" collapsed="false">
      <c r="A37" s="25"/>
      <c r="B37" s="16"/>
      <c r="C37" s="16"/>
      <c r="D37" s="18"/>
    </row>
    <row r="38" customFormat="false" ht="15" hidden="false" customHeight="false" outlineLevel="0" collapsed="false">
      <c r="A38" s="25"/>
      <c r="B38" s="16"/>
      <c r="C38" s="16"/>
      <c r="D38" s="18"/>
    </row>
    <row r="39" customFormat="false" ht="15" hidden="false" customHeight="false" outlineLevel="0" collapsed="false">
      <c r="A39" s="25"/>
      <c r="B39" s="16"/>
      <c r="C39" s="16"/>
      <c r="D39" s="18"/>
    </row>
    <row r="40" customFormat="false" ht="15" hidden="false" customHeight="false" outlineLevel="0" collapsed="false">
      <c r="A40" s="25"/>
      <c r="B40" s="16"/>
      <c r="C40" s="16"/>
      <c r="D40" s="18"/>
    </row>
    <row r="41" customFormat="false" ht="15" hidden="false" customHeight="false" outlineLevel="0" collapsed="false">
      <c r="A41" s="25"/>
      <c r="B41" s="16"/>
      <c r="C41" s="16"/>
      <c r="D41" s="18"/>
    </row>
    <row r="42" customFormat="false" ht="15" hidden="false" customHeight="false" outlineLevel="0" collapsed="false">
      <c r="A42" s="25"/>
      <c r="B42" s="16"/>
      <c r="C42" s="16"/>
      <c r="D42" s="18"/>
    </row>
    <row r="43" customFormat="false" ht="15" hidden="false" customHeight="false" outlineLevel="0" collapsed="false">
      <c r="A43" s="25"/>
      <c r="B43" s="16"/>
      <c r="C43" s="16"/>
      <c r="D43" s="18"/>
    </row>
    <row r="44" customFormat="false" ht="15" hidden="false" customHeight="false" outlineLevel="0" collapsed="false">
      <c r="A44" s="25"/>
      <c r="B44" s="16"/>
      <c r="C44" s="16"/>
      <c r="D44" s="18"/>
    </row>
    <row r="45" customFormat="false" ht="15" hidden="false" customHeight="false" outlineLevel="0" collapsed="false">
      <c r="A45" s="25"/>
      <c r="B45" s="16"/>
      <c r="C45" s="16"/>
      <c r="D45" s="18"/>
    </row>
    <row r="46" customFormat="false" ht="15" hidden="false" customHeight="false" outlineLevel="0" collapsed="false">
      <c r="A46" s="25"/>
      <c r="B46" s="16"/>
      <c r="C46" s="16"/>
      <c r="D46" s="18"/>
    </row>
    <row r="47" customFormat="false" ht="15" hidden="false" customHeight="false" outlineLevel="0" collapsed="false">
      <c r="A47" s="25"/>
      <c r="B47" s="16"/>
      <c r="C47" s="16"/>
      <c r="D47" s="18"/>
    </row>
    <row r="48" customFormat="false" ht="15" hidden="false" customHeight="false" outlineLevel="0" collapsed="false">
      <c r="A48" s="25"/>
      <c r="B48" s="16"/>
      <c r="C48" s="16"/>
      <c r="D48" s="18"/>
    </row>
    <row r="49" customFormat="false" ht="15" hidden="false" customHeight="false" outlineLevel="0" collapsed="false">
      <c r="A49" s="25"/>
      <c r="B49" s="16"/>
      <c r="C49" s="16"/>
      <c r="D49" s="18"/>
    </row>
    <row r="50" customFormat="false" ht="15" hidden="false" customHeight="false" outlineLevel="0" collapsed="false">
      <c r="A50" s="25"/>
      <c r="B50" s="16"/>
      <c r="C50" s="16"/>
      <c r="D50" s="18"/>
    </row>
    <row r="51" customFormat="false" ht="15" hidden="false" customHeight="false" outlineLevel="0" collapsed="false">
      <c r="A51" s="25"/>
      <c r="B51" s="16"/>
      <c r="C51" s="16"/>
      <c r="D51" s="18"/>
    </row>
    <row r="52" customFormat="false" ht="15" hidden="false" customHeight="false" outlineLevel="0" collapsed="false">
      <c r="A52" s="25"/>
      <c r="B52" s="16"/>
      <c r="C52" s="16"/>
      <c r="D52" s="18"/>
    </row>
    <row r="53" customFormat="false" ht="15" hidden="false" customHeight="false" outlineLevel="0" collapsed="false">
      <c r="A53" s="25"/>
      <c r="B53" s="16"/>
      <c r="C53" s="16"/>
      <c r="D53" s="18"/>
    </row>
    <row r="54" customFormat="false" ht="15" hidden="false" customHeight="false" outlineLevel="0" collapsed="false">
      <c r="A54" s="25"/>
      <c r="B54" s="16"/>
      <c r="C54" s="16"/>
      <c r="D54" s="18"/>
    </row>
    <row r="55" customFormat="false" ht="15" hidden="false" customHeight="false" outlineLevel="0" collapsed="false">
      <c r="A55" s="25"/>
      <c r="B55" s="16"/>
      <c r="C55" s="16"/>
      <c r="D55" s="18"/>
    </row>
    <row r="56" customFormat="false" ht="15" hidden="false" customHeight="false" outlineLevel="0" collapsed="false">
      <c r="A56" s="25"/>
      <c r="B56" s="16"/>
      <c r="C56" s="16"/>
      <c r="D56" s="18"/>
    </row>
    <row r="57" customFormat="false" ht="15" hidden="false" customHeight="false" outlineLevel="0" collapsed="false">
      <c r="A57" s="25"/>
      <c r="B57" s="16"/>
      <c r="C57" s="16"/>
      <c r="D57" s="18"/>
    </row>
    <row r="58" customFormat="false" ht="15" hidden="false" customHeight="false" outlineLevel="0" collapsed="false">
      <c r="A58" s="25"/>
      <c r="B58" s="16"/>
      <c r="C58" s="16"/>
      <c r="D58" s="18"/>
    </row>
    <row r="59" customFormat="false" ht="15" hidden="false" customHeight="false" outlineLevel="0" collapsed="false">
      <c r="A59" s="25"/>
      <c r="B59" s="16"/>
      <c r="C59" s="16"/>
      <c r="D59" s="18"/>
    </row>
    <row r="60" customFormat="false" ht="15" hidden="false" customHeight="false" outlineLevel="0" collapsed="false">
      <c r="A60" s="25"/>
      <c r="B60" s="16"/>
      <c r="C60" s="16"/>
      <c r="D60" s="18"/>
    </row>
    <row r="61" customFormat="false" ht="15" hidden="false" customHeight="false" outlineLevel="0" collapsed="false">
      <c r="A61" s="25"/>
      <c r="B61" s="16"/>
      <c r="C61" s="16"/>
      <c r="D61" s="18"/>
    </row>
    <row r="62" customFormat="false" ht="15" hidden="false" customHeight="false" outlineLevel="0" collapsed="false">
      <c r="A62" s="25"/>
      <c r="B62" s="16"/>
      <c r="C62" s="16"/>
      <c r="D62" s="18"/>
    </row>
    <row r="63" customFormat="false" ht="15" hidden="false" customHeight="false" outlineLevel="0" collapsed="false">
      <c r="A63" s="25"/>
      <c r="B63" s="16"/>
      <c r="C63" s="16"/>
      <c r="D63" s="18"/>
    </row>
    <row r="64" customFormat="false" ht="15" hidden="false" customHeight="false" outlineLevel="0" collapsed="false">
      <c r="A64" s="25"/>
      <c r="B64" s="16"/>
      <c r="C64" s="16"/>
      <c r="D64" s="18"/>
    </row>
    <row r="65" customFormat="false" ht="15" hidden="false" customHeight="false" outlineLevel="0" collapsed="false">
      <c r="A65" s="25"/>
      <c r="B65" s="16"/>
      <c r="C65" s="16"/>
      <c r="D65" s="18"/>
    </row>
    <row r="66" customFormat="false" ht="15" hidden="false" customHeight="false" outlineLevel="0" collapsed="false">
      <c r="A66" s="25"/>
      <c r="B66" s="16"/>
      <c r="C66" s="16"/>
      <c r="D66" s="18"/>
    </row>
    <row r="67" customFormat="false" ht="15" hidden="false" customHeight="false" outlineLevel="0" collapsed="false">
      <c r="A67" s="25"/>
      <c r="B67" s="16"/>
      <c r="C67" s="16"/>
      <c r="D67" s="18"/>
    </row>
    <row r="68" customFormat="false" ht="15" hidden="false" customHeight="false" outlineLevel="0" collapsed="false">
      <c r="A68" s="25"/>
      <c r="B68" s="16"/>
      <c r="C68" s="16"/>
      <c r="D68" s="18"/>
    </row>
    <row r="69" customFormat="false" ht="15" hidden="false" customHeight="false" outlineLevel="0" collapsed="false">
      <c r="A69" s="25"/>
      <c r="B69" s="16"/>
      <c r="C69" s="16"/>
      <c r="D69" s="18"/>
    </row>
    <row r="70" customFormat="false" ht="15" hidden="false" customHeight="false" outlineLevel="0" collapsed="false">
      <c r="A70" s="25"/>
      <c r="B70" s="16"/>
      <c r="C70" s="16"/>
      <c r="D70" s="18"/>
    </row>
    <row r="71" customFormat="false" ht="15" hidden="false" customHeight="false" outlineLevel="0" collapsed="false">
      <c r="A71" s="25"/>
      <c r="B71" s="16"/>
      <c r="C71" s="16"/>
      <c r="D71" s="18"/>
    </row>
    <row r="72" customFormat="false" ht="15" hidden="false" customHeight="false" outlineLevel="0" collapsed="false">
      <c r="A72" s="25"/>
      <c r="B72" s="16"/>
      <c r="C72" s="16"/>
      <c r="D72" s="18"/>
    </row>
    <row r="73" customFormat="false" ht="15" hidden="false" customHeight="false" outlineLevel="0" collapsed="false">
      <c r="A73" s="25"/>
      <c r="B73" s="16"/>
      <c r="C73" s="16"/>
      <c r="D73" s="18"/>
    </row>
    <row r="74" customFormat="false" ht="15" hidden="false" customHeight="false" outlineLevel="0" collapsed="false">
      <c r="A74" s="25"/>
      <c r="B74" s="16"/>
      <c r="C74" s="16"/>
      <c r="D74" s="18"/>
    </row>
    <row r="75" customFormat="false" ht="15" hidden="false" customHeight="false" outlineLevel="0" collapsed="false">
      <c r="A75" s="25"/>
      <c r="B75" s="16"/>
      <c r="C75" s="16"/>
      <c r="D75" s="18"/>
    </row>
    <row r="76" customFormat="false" ht="15" hidden="false" customHeight="false" outlineLevel="0" collapsed="false">
      <c r="A76" s="25"/>
      <c r="B76" s="16"/>
      <c r="C76" s="16"/>
      <c r="D76" s="18"/>
    </row>
    <row r="77" customFormat="false" ht="15" hidden="false" customHeight="false" outlineLevel="0" collapsed="false">
      <c r="A77" s="25"/>
      <c r="B77" s="16"/>
      <c r="C77" s="16"/>
      <c r="D77" s="18"/>
    </row>
    <row r="78" customFormat="false" ht="15" hidden="false" customHeight="false" outlineLevel="0" collapsed="false">
      <c r="A78" s="25"/>
      <c r="B78" s="16"/>
      <c r="C78" s="16"/>
      <c r="D78" s="18"/>
    </row>
    <row r="79" customFormat="false" ht="15" hidden="false" customHeight="false" outlineLevel="0" collapsed="false">
      <c r="A79" s="25"/>
      <c r="B79" s="16"/>
      <c r="C79" s="16"/>
      <c r="D79" s="18"/>
    </row>
    <row r="80" customFormat="false" ht="15" hidden="false" customHeight="false" outlineLevel="0" collapsed="false">
      <c r="A80" s="25"/>
      <c r="B80" s="16"/>
      <c r="C80" s="16"/>
      <c r="D80" s="18"/>
    </row>
    <row r="81" customFormat="false" ht="15" hidden="false" customHeight="false" outlineLevel="0" collapsed="false">
      <c r="A81" s="25"/>
      <c r="B81" s="16"/>
      <c r="C81" s="16"/>
      <c r="D81" s="18"/>
    </row>
    <row r="82" customFormat="false" ht="15" hidden="false" customHeight="false" outlineLevel="0" collapsed="false">
      <c r="A82" s="25"/>
      <c r="B82" s="16"/>
      <c r="C82" s="16"/>
      <c r="D82" s="18"/>
    </row>
    <row r="83" customFormat="false" ht="15" hidden="false" customHeight="false" outlineLevel="0" collapsed="false">
      <c r="A83" s="25"/>
      <c r="B83" s="16"/>
      <c r="C83" s="16"/>
      <c r="D83" s="18"/>
    </row>
    <row r="84" customFormat="false" ht="15" hidden="false" customHeight="false" outlineLevel="0" collapsed="false">
      <c r="A84" s="25"/>
      <c r="B84" s="16"/>
      <c r="C84" s="16"/>
      <c r="D84" s="18"/>
    </row>
    <row r="85" customFormat="false" ht="15" hidden="false" customHeight="false" outlineLevel="0" collapsed="false">
      <c r="A85" s="25"/>
      <c r="B85" s="16"/>
      <c r="C85" s="16"/>
      <c r="D85" s="18"/>
    </row>
    <row r="86" customFormat="false" ht="15" hidden="false" customHeight="false" outlineLevel="0" collapsed="false">
      <c r="A86" s="25"/>
      <c r="B86" s="16"/>
      <c r="C86" s="16"/>
      <c r="D86" s="18"/>
    </row>
    <row r="87" customFormat="false" ht="15" hidden="false" customHeight="false" outlineLevel="0" collapsed="false">
      <c r="A87" s="25"/>
      <c r="B87" s="16"/>
      <c r="C87" s="16"/>
      <c r="D87" s="18"/>
    </row>
    <row r="88" customFormat="false" ht="15" hidden="false" customHeight="false" outlineLevel="0" collapsed="false">
      <c r="A88" s="25"/>
      <c r="B88" s="16"/>
      <c r="C88" s="16"/>
      <c r="D88" s="18"/>
    </row>
    <row r="89" customFormat="false" ht="15" hidden="false" customHeight="false" outlineLevel="0" collapsed="false">
      <c r="A89" s="25"/>
      <c r="B89" s="16"/>
      <c r="C89" s="16"/>
      <c r="D89" s="18"/>
    </row>
    <row r="90" customFormat="false" ht="15" hidden="false" customHeight="false" outlineLevel="0" collapsed="false">
      <c r="A90" s="25"/>
      <c r="B90" s="16"/>
      <c r="C90" s="16"/>
      <c r="D90" s="18"/>
    </row>
    <row r="91" customFormat="false" ht="15" hidden="false" customHeight="false" outlineLevel="0" collapsed="false">
      <c r="A91" s="25"/>
      <c r="B91" s="16"/>
      <c r="C91" s="16"/>
      <c r="D91" s="18"/>
    </row>
    <row r="92" customFormat="false" ht="15" hidden="false" customHeight="false" outlineLevel="0" collapsed="false">
      <c r="A92" s="25"/>
      <c r="B92" s="16"/>
      <c r="C92" s="16"/>
      <c r="D92" s="18"/>
    </row>
    <row r="93" customFormat="false" ht="15" hidden="false" customHeight="false" outlineLevel="0" collapsed="false">
      <c r="A93" s="25"/>
      <c r="B93" s="16"/>
      <c r="C93" s="16"/>
      <c r="D93" s="18"/>
    </row>
    <row r="94" customFormat="false" ht="15" hidden="false" customHeight="false" outlineLevel="0" collapsed="false">
      <c r="A94" s="25"/>
      <c r="B94" s="16"/>
      <c r="C94" s="16"/>
      <c r="D94" s="18"/>
    </row>
    <row r="95" customFormat="false" ht="15" hidden="false" customHeight="false" outlineLevel="0" collapsed="false">
      <c r="A95" s="25"/>
      <c r="B95" s="16"/>
      <c r="C95" s="16"/>
      <c r="D95" s="18"/>
    </row>
    <row r="96" customFormat="false" ht="15" hidden="false" customHeight="false" outlineLevel="0" collapsed="false">
      <c r="A96" s="25"/>
      <c r="B96" s="16"/>
      <c r="C96" s="16"/>
      <c r="D96" s="18"/>
    </row>
    <row r="97" customFormat="false" ht="15" hidden="false" customHeight="false" outlineLevel="0" collapsed="false">
      <c r="A97" s="25"/>
      <c r="B97" s="16"/>
      <c r="C97" s="16"/>
      <c r="D97" s="18"/>
    </row>
    <row r="98" customFormat="false" ht="15" hidden="false" customHeight="false" outlineLevel="0" collapsed="false">
      <c r="A98" s="25"/>
      <c r="B98" s="16"/>
      <c r="C98" s="16"/>
      <c r="D98" s="18"/>
    </row>
    <row r="99" customFormat="false" ht="15" hidden="false" customHeight="false" outlineLevel="0" collapsed="false">
      <c r="A99" s="25"/>
      <c r="B99" s="16"/>
      <c r="C99" s="16"/>
      <c r="D99" s="18"/>
    </row>
    <row r="100" customFormat="false" ht="15" hidden="false" customHeight="false" outlineLevel="0" collapsed="false">
      <c r="A100" s="25"/>
      <c r="B100" s="16"/>
      <c r="C100" s="16"/>
      <c r="D100" s="18"/>
    </row>
    <row r="101" customFormat="false" ht="15" hidden="false" customHeight="false" outlineLevel="0" collapsed="false">
      <c r="A101" s="25"/>
      <c r="B101" s="16"/>
      <c r="C101" s="16"/>
      <c r="D101" s="18"/>
    </row>
    <row r="102" customFormat="false" ht="15" hidden="false" customHeight="false" outlineLevel="0" collapsed="false">
      <c r="A102" s="25"/>
      <c r="B102" s="16"/>
      <c r="C102" s="16"/>
      <c r="D102" s="18"/>
    </row>
    <row r="103" customFormat="false" ht="15" hidden="false" customHeight="false" outlineLevel="0" collapsed="false">
      <c r="A103" s="25"/>
      <c r="B103" s="16"/>
      <c r="C103" s="16"/>
      <c r="D103" s="18"/>
    </row>
    <row r="104" customFormat="false" ht="15" hidden="false" customHeight="false" outlineLevel="0" collapsed="false">
      <c r="A104" s="25"/>
      <c r="B104" s="16"/>
      <c r="C104" s="16"/>
      <c r="D104" s="18"/>
    </row>
    <row r="105" customFormat="false" ht="15" hidden="false" customHeight="false" outlineLevel="0" collapsed="false">
      <c r="A105" s="25"/>
      <c r="B105" s="16"/>
      <c r="C105" s="16"/>
      <c r="D105" s="18"/>
    </row>
    <row r="106" customFormat="false" ht="15" hidden="false" customHeight="false" outlineLevel="0" collapsed="false">
      <c r="A106" s="25"/>
      <c r="B106" s="16"/>
      <c r="C106" s="16"/>
      <c r="D106" s="18"/>
    </row>
    <row r="107" customFormat="false" ht="15" hidden="false" customHeight="false" outlineLevel="0" collapsed="false">
      <c r="A107" s="25"/>
      <c r="B107" s="16"/>
      <c r="C107" s="16"/>
      <c r="D107" s="18"/>
    </row>
    <row r="108" customFormat="false" ht="15" hidden="false" customHeight="false" outlineLevel="0" collapsed="false">
      <c r="A108" s="25"/>
      <c r="B108" s="16"/>
      <c r="C108" s="16"/>
      <c r="D108" s="18"/>
    </row>
    <row r="109" customFormat="false" ht="15" hidden="false" customHeight="false" outlineLevel="0" collapsed="false">
      <c r="A109" s="25"/>
      <c r="B109" s="16"/>
      <c r="C109" s="16"/>
      <c r="D109" s="18"/>
    </row>
    <row r="110" customFormat="false" ht="15" hidden="false" customHeight="false" outlineLevel="0" collapsed="false">
      <c r="A110" s="25"/>
      <c r="B110" s="16"/>
      <c r="C110" s="16"/>
      <c r="D110" s="18"/>
    </row>
    <row r="111" customFormat="false" ht="15" hidden="false" customHeight="false" outlineLevel="0" collapsed="false">
      <c r="A111" s="25"/>
      <c r="B111" s="16"/>
      <c r="C111" s="16"/>
      <c r="D111" s="18"/>
    </row>
    <row r="112" customFormat="false" ht="15" hidden="false" customHeight="false" outlineLevel="0" collapsed="false">
      <c r="A112" s="25"/>
      <c r="B112" s="16"/>
      <c r="C112" s="16"/>
      <c r="D112" s="18"/>
    </row>
    <row r="113" customFormat="false" ht="15" hidden="false" customHeight="false" outlineLevel="0" collapsed="false">
      <c r="A113" s="25"/>
      <c r="B113" s="16"/>
      <c r="C113" s="16"/>
      <c r="D113" s="18"/>
    </row>
    <row r="114" customFormat="false" ht="15" hidden="false" customHeight="false" outlineLevel="0" collapsed="false">
      <c r="A114" s="25"/>
      <c r="B114" s="16"/>
      <c r="C114" s="16"/>
      <c r="D114" s="18"/>
    </row>
    <row r="115" customFormat="false" ht="15" hidden="false" customHeight="false" outlineLevel="0" collapsed="false">
      <c r="A115" s="25"/>
      <c r="B115" s="16"/>
      <c r="C115" s="16"/>
      <c r="D115" s="18"/>
    </row>
    <row r="116" customFormat="false" ht="15" hidden="false" customHeight="false" outlineLevel="0" collapsed="false">
      <c r="A116" s="25"/>
      <c r="B116" s="16"/>
      <c r="C116" s="16"/>
      <c r="D116" s="18"/>
    </row>
    <row r="117" customFormat="false" ht="15" hidden="false" customHeight="false" outlineLevel="0" collapsed="false">
      <c r="A117" s="25"/>
      <c r="B117" s="16"/>
      <c r="C117" s="16"/>
      <c r="D117" s="18"/>
    </row>
    <row r="118" customFormat="false" ht="15" hidden="false" customHeight="false" outlineLevel="0" collapsed="false">
      <c r="A118" s="25"/>
      <c r="B118" s="16"/>
      <c r="C118" s="16"/>
      <c r="D118" s="18"/>
    </row>
    <row r="119" customFormat="false" ht="15" hidden="false" customHeight="false" outlineLevel="0" collapsed="false">
      <c r="A119" s="25"/>
      <c r="B119" s="16"/>
      <c r="C119" s="16"/>
      <c r="D119" s="18"/>
    </row>
    <row r="120" customFormat="false" ht="15" hidden="false" customHeight="false" outlineLevel="0" collapsed="false">
      <c r="A120" s="25"/>
      <c r="B120" s="16"/>
      <c r="C120" s="16"/>
      <c r="D120" s="18"/>
    </row>
    <row r="121" customFormat="false" ht="15" hidden="false" customHeight="false" outlineLevel="0" collapsed="false">
      <c r="A121" s="25"/>
      <c r="B121" s="16"/>
      <c r="C121" s="16"/>
      <c r="D121" s="18"/>
    </row>
    <row r="122" customFormat="false" ht="15" hidden="false" customHeight="false" outlineLevel="0" collapsed="false">
      <c r="A122" s="25"/>
      <c r="B122" s="16"/>
      <c r="C122" s="16"/>
      <c r="D122" s="18"/>
    </row>
    <row r="123" customFormat="false" ht="15" hidden="false" customHeight="false" outlineLevel="0" collapsed="false">
      <c r="A123" s="25"/>
      <c r="B123" s="16"/>
      <c r="C123" s="16"/>
      <c r="D123" s="18"/>
    </row>
    <row r="124" customFormat="false" ht="15" hidden="false" customHeight="false" outlineLevel="0" collapsed="false">
      <c r="A124" s="25"/>
      <c r="B124" s="16"/>
      <c r="C124" s="16"/>
      <c r="D124" s="18"/>
    </row>
    <row r="125" customFormat="false" ht="15" hidden="false" customHeight="false" outlineLevel="0" collapsed="false">
      <c r="A125" s="25"/>
      <c r="B125" s="16"/>
      <c r="C125" s="16"/>
      <c r="D125" s="18"/>
    </row>
    <row r="126" customFormat="false" ht="15" hidden="false" customHeight="false" outlineLevel="0" collapsed="false">
      <c r="A126" s="25"/>
      <c r="B126" s="16"/>
      <c r="C126" s="16"/>
      <c r="D126" s="18"/>
    </row>
    <row r="127" customFormat="false" ht="15" hidden="false" customHeight="false" outlineLevel="0" collapsed="false">
      <c r="A127" s="25"/>
      <c r="B127" s="16"/>
      <c r="C127" s="16"/>
      <c r="D127" s="18"/>
    </row>
    <row r="128" customFormat="false" ht="15" hidden="false" customHeight="false" outlineLevel="0" collapsed="false">
      <c r="A128" s="25"/>
      <c r="B128" s="16"/>
      <c r="C128" s="16"/>
      <c r="D128" s="18"/>
    </row>
    <row r="129" customFormat="false" ht="15" hidden="false" customHeight="false" outlineLevel="0" collapsed="false">
      <c r="A129" s="25"/>
      <c r="B129" s="16"/>
      <c r="C129" s="16"/>
      <c r="D129" s="18"/>
    </row>
    <row r="130" customFormat="false" ht="15" hidden="false" customHeight="false" outlineLevel="0" collapsed="false">
      <c r="A130" s="25"/>
      <c r="B130" s="16"/>
      <c r="C130" s="16"/>
      <c r="D130" s="18"/>
    </row>
    <row r="131" customFormat="false" ht="15" hidden="false" customHeight="false" outlineLevel="0" collapsed="false">
      <c r="A131" s="25"/>
      <c r="B131" s="16"/>
      <c r="C131" s="16"/>
      <c r="D131" s="18"/>
    </row>
    <row r="132" customFormat="false" ht="15" hidden="false" customHeight="false" outlineLevel="0" collapsed="false">
      <c r="A132" s="25"/>
      <c r="B132" s="16"/>
      <c r="C132" s="16"/>
      <c r="D132" s="18"/>
    </row>
    <row r="133" customFormat="false" ht="15" hidden="false" customHeight="false" outlineLevel="0" collapsed="false">
      <c r="A133" s="25"/>
      <c r="B133" s="16"/>
      <c r="C133" s="16"/>
      <c r="D133" s="18"/>
    </row>
    <row r="134" customFormat="false" ht="15" hidden="false" customHeight="false" outlineLevel="0" collapsed="false">
      <c r="A134" s="25"/>
      <c r="B134" s="16"/>
      <c r="C134" s="16"/>
      <c r="D134" s="18"/>
    </row>
    <row r="135" customFormat="false" ht="15" hidden="false" customHeight="false" outlineLevel="0" collapsed="false">
      <c r="A135" s="25"/>
      <c r="B135" s="16"/>
      <c r="C135" s="16"/>
      <c r="D135" s="18"/>
    </row>
    <row r="136" customFormat="false" ht="15" hidden="false" customHeight="false" outlineLevel="0" collapsed="false">
      <c r="A136" s="25"/>
      <c r="B136" s="16"/>
      <c r="C136" s="16"/>
      <c r="D136" s="18"/>
    </row>
    <row r="137" customFormat="false" ht="15" hidden="false" customHeight="false" outlineLevel="0" collapsed="false">
      <c r="A137" s="25"/>
      <c r="B137" s="16"/>
      <c r="C137" s="16"/>
      <c r="D137" s="18"/>
    </row>
    <row r="138" customFormat="false" ht="15" hidden="false" customHeight="false" outlineLevel="0" collapsed="false">
      <c r="A138" s="25"/>
      <c r="B138" s="16"/>
      <c r="C138" s="16"/>
      <c r="D138" s="18"/>
    </row>
    <row r="139" customFormat="false" ht="15" hidden="false" customHeight="false" outlineLevel="0" collapsed="false">
      <c r="A139" s="25"/>
      <c r="B139" s="16"/>
      <c r="C139" s="16"/>
      <c r="D139" s="18"/>
    </row>
    <row r="140" customFormat="false" ht="15" hidden="false" customHeight="false" outlineLevel="0" collapsed="false">
      <c r="A140" s="25"/>
      <c r="B140" s="16"/>
      <c r="C140" s="16"/>
      <c r="D140" s="18"/>
    </row>
    <row r="141" customFormat="false" ht="15" hidden="false" customHeight="false" outlineLevel="0" collapsed="false">
      <c r="A141" s="25"/>
      <c r="B141" s="16"/>
      <c r="C141" s="16"/>
      <c r="D141" s="18"/>
    </row>
    <row r="142" customFormat="false" ht="15" hidden="false" customHeight="false" outlineLevel="0" collapsed="false">
      <c r="A142" s="25"/>
      <c r="B142" s="16"/>
      <c r="C142" s="16"/>
      <c r="D142" s="18"/>
    </row>
    <row r="143" customFormat="false" ht="15" hidden="false" customHeight="false" outlineLevel="0" collapsed="false">
      <c r="A143" s="25"/>
      <c r="B143" s="16"/>
      <c r="C143" s="16"/>
      <c r="D143" s="18"/>
    </row>
    <row r="144" customFormat="false" ht="15" hidden="false" customHeight="false" outlineLevel="0" collapsed="false">
      <c r="A144" s="25"/>
      <c r="B144" s="16"/>
      <c r="C144" s="16"/>
      <c r="D144" s="18"/>
    </row>
    <row r="145" customFormat="false" ht="15" hidden="false" customHeight="false" outlineLevel="0" collapsed="false">
      <c r="A145" s="25"/>
      <c r="B145" s="16"/>
      <c r="C145" s="16"/>
      <c r="D145" s="18"/>
    </row>
    <row r="146" customFormat="false" ht="15" hidden="false" customHeight="false" outlineLevel="0" collapsed="false">
      <c r="A146" s="25"/>
      <c r="B146" s="16"/>
      <c r="C146" s="16"/>
      <c r="D146" s="18"/>
    </row>
    <row r="147" customFormat="false" ht="15" hidden="false" customHeight="false" outlineLevel="0" collapsed="false">
      <c r="A147" s="25"/>
      <c r="B147" s="16"/>
      <c r="C147" s="16"/>
      <c r="D147" s="18"/>
    </row>
    <row r="148" customFormat="false" ht="15" hidden="false" customHeight="false" outlineLevel="0" collapsed="false">
      <c r="A148" s="25"/>
      <c r="B148" s="16"/>
      <c r="C148" s="16"/>
      <c r="D148" s="18"/>
    </row>
    <row r="149" customFormat="false" ht="15" hidden="false" customHeight="false" outlineLevel="0" collapsed="false">
      <c r="A149" s="25"/>
      <c r="B149" s="16"/>
      <c r="C149" s="16"/>
      <c r="D149" s="18"/>
    </row>
    <row r="150" customFormat="false" ht="15" hidden="false" customHeight="false" outlineLevel="0" collapsed="false">
      <c r="A150" s="25"/>
      <c r="B150" s="16"/>
      <c r="C150" s="16"/>
      <c r="D150" s="18"/>
    </row>
    <row r="151" customFormat="false" ht="15" hidden="false" customHeight="false" outlineLevel="0" collapsed="false">
      <c r="A151" s="25"/>
      <c r="B151" s="16"/>
      <c r="C151" s="16"/>
      <c r="D151" s="18"/>
    </row>
    <row r="152" customFormat="false" ht="15" hidden="false" customHeight="false" outlineLevel="0" collapsed="false">
      <c r="A152" s="25"/>
      <c r="B152" s="16"/>
      <c r="C152" s="16"/>
      <c r="D152" s="18"/>
    </row>
    <row r="153" customFormat="false" ht="15" hidden="false" customHeight="false" outlineLevel="0" collapsed="false">
      <c r="A153" s="25"/>
      <c r="B153" s="16"/>
      <c r="C153" s="16"/>
      <c r="D153" s="18"/>
    </row>
    <row r="154" customFormat="false" ht="15" hidden="false" customHeight="false" outlineLevel="0" collapsed="false">
      <c r="A154" s="25"/>
      <c r="B154" s="16"/>
      <c r="C154" s="16"/>
      <c r="D154" s="18"/>
    </row>
    <row r="155" customFormat="false" ht="15" hidden="false" customHeight="false" outlineLevel="0" collapsed="false">
      <c r="A155" s="25"/>
      <c r="B155" s="16"/>
      <c r="C155" s="16"/>
      <c r="D155" s="18"/>
    </row>
    <row r="156" customFormat="false" ht="15" hidden="false" customHeight="false" outlineLevel="0" collapsed="false">
      <c r="A156" s="25"/>
      <c r="B156" s="16"/>
      <c r="C156" s="16"/>
      <c r="D156" s="18"/>
    </row>
    <row r="157" customFormat="false" ht="15" hidden="false" customHeight="false" outlineLevel="0" collapsed="false">
      <c r="A157" s="25"/>
      <c r="B157" s="16"/>
      <c r="C157" s="16"/>
      <c r="D157" s="18"/>
    </row>
    <row r="158" customFormat="false" ht="15" hidden="false" customHeight="false" outlineLevel="0" collapsed="false">
      <c r="A158" s="25"/>
      <c r="B158" s="16"/>
      <c r="C158" s="16"/>
      <c r="D158" s="18"/>
    </row>
    <row r="159" customFormat="false" ht="15" hidden="false" customHeight="false" outlineLevel="0" collapsed="false">
      <c r="A159" s="25"/>
      <c r="B159" s="16"/>
      <c r="C159" s="16"/>
      <c r="D159" s="18"/>
    </row>
    <row r="160" customFormat="false" ht="15" hidden="false" customHeight="false" outlineLevel="0" collapsed="false">
      <c r="A160" s="25"/>
      <c r="B160" s="16"/>
      <c r="C160" s="16"/>
      <c r="D160" s="18"/>
    </row>
    <row r="161" customFormat="false" ht="15" hidden="false" customHeight="false" outlineLevel="0" collapsed="false">
      <c r="A161" s="25"/>
      <c r="B161" s="16"/>
      <c r="C161" s="16"/>
      <c r="D161" s="18"/>
    </row>
    <row r="162" customFormat="false" ht="15" hidden="false" customHeight="false" outlineLevel="0" collapsed="false">
      <c r="A162" s="25"/>
      <c r="B162" s="16"/>
      <c r="C162" s="16"/>
      <c r="D162" s="18"/>
    </row>
    <row r="163" customFormat="false" ht="15" hidden="false" customHeight="false" outlineLevel="0" collapsed="false">
      <c r="A163" s="25"/>
      <c r="B163" s="16"/>
      <c r="C163" s="16"/>
      <c r="D163" s="18"/>
    </row>
    <row r="164" customFormat="false" ht="15" hidden="false" customHeight="false" outlineLevel="0" collapsed="false">
      <c r="A164" s="25"/>
      <c r="B164" s="16"/>
      <c r="C164" s="16"/>
      <c r="D164" s="18"/>
    </row>
    <row r="165" customFormat="false" ht="15" hidden="false" customHeight="false" outlineLevel="0" collapsed="false">
      <c r="A165" s="25"/>
      <c r="B165" s="16"/>
      <c r="C165" s="16"/>
      <c r="D165" s="18"/>
    </row>
    <row r="166" customFormat="false" ht="15" hidden="false" customHeight="false" outlineLevel="0" collapsed="false">
      <c r="A166" s="25"/>
      <c r="B166" s="16"/>
      <c r="C166" s="16"/>
      <c r="D166" s="18"/>
    </row>
    <row r="167" customFormat="false" ht="15" hidden="false" customHeight="false" outlineLevel="0" collapsed="false">
      <c r="A167" s="25"/>
      <c r="B167" s="16"/>
      <c r="C167" s="16"/>
      <c r="D167" s="18"/>
    </row>
    <row r="168" customFormat="false" ht="15" hidden="false" customHeight="false" outlineLevel="0" collapsed="false">
      <c r="A168" s="25"/>
      <c r="B168" s="16"/>
      <c r="C168" s="16"/>
      <c r="D168" s="18"/>
    </row>
    <row r="169" customFormat="false" ht="15" hidden="false" customHeight="false" outlineLevel="0" collapsed="false">
      <c r="A169" s="25"/>
      <c r="B169" s="16"/>
      <c r="C169" s="16"/>
      <c r="D169" s="18"/>
    </row>
    <row r="170" customFormat="false" ht="15" hidden="false" customHeight="false" outlineLevel="0" collapsed="false">
      <c r="A170" s="25"/>
      <c r="B170" s="16"/>
      <c r="C170" s="16"/>
      <c r="D170" s="18"/>
    </row>
    <row r="171" customFormat="false" ht="15" hidden="false" customHeight="false" outlineLevel="0" collapsed="false">
      <c r="A171" s="25"/>
      <c r="B171" s="16"/>
      <c r="C171" s="16"/>
      <c r="D171" s="18"/>
    </row>
    <row r="172" customFormat="false" ht="15" hidden="false" customHeight="false" outlineLevel="0" collapsed="false">
      <c r="A172" s="25"/>
      <c r="B172" s="16"/>
      <c r="C172" s="16"/>
      <c r="D172" s="18"/>
    </row>
    <row r="173" customFormat="false" ht="15" hidden="false" customHeight="false" outlineLevel="0" collapsed="false">
      <c r="A173" s="25"/>
      <c r="B173" s="16"/>
      <c r="C173" s="16"/>
      <c r="D173" s="18"/>
    </row>
    <row r="174" customFormat="false" ht="15" hidden="false" customHeight="false" outlineLevel="0" collapsed="false">
      <c r="A174" s="25"/>
      <c r="B174" s="16"/>
      <c r="C174" s="16"/>
      <c r="D174" s="18"/>
    </row>
    <row r="175" customFormat="false" ht="15" hidden="false" customHeight="false" outlineLevel="0" collapsed="false">
      <c r="A175" s="25"/>
      <c r="B175" s="16"/>
      <c r="C175" s="16"/>
      <c r="D175" s="18"/>
    </row>
    <row r="176" customFormat="false" ht="15" hidden="false" customHeight="false" outlineLevel="0" collapsed="false">
      <c r="A176" s="25"/>
      <c r="B176" s="16"/>
      <c r="C176" s="16"/>
      <c r="D176" s="18"/>
    </row>
    <row r="177" customFormat="false" ht="15" hidden="false" customHeight="false" outlineLevel="0" collapsed="false">
      <c r="A177" s="25"/>
      <c r="B177" s="16"/>
      <c r="C177" s="16"/>
      <c r="D177" s="18"/>
    </row>
    <row r="178" customFormat="false" ht="15" hidden="false" customHeight="false" outlineLevel="0" collapsed="false">
      <c r="A178" s="25"/>
      <c r="B178" s="16"/>
      <c r="C178" s="16"/>
      <c r="D178" s="18"/>
    </row>
    <row r="179" customFormat="false" ht="15" hidden="false" customHeight="false" outlineLevel="0" collapsed="false">
      <c r="A179" s="25"/>
      <c r="B179" s="16"/>
      <c r="C179" s="16"/>
      <c r="D179" s="18"/>
    </row>
    <row r="180" customFormat="false" ht="15" hidden="false" customHeight="false" outlineLevel="0" collapsed="false">
      <c r="A180" s="25"/>
      <c r="B180" s="16"/>
      <c r="C180" s="16"/>
      <c r="D180" s="18"/>
    </row>
    <row r="181" customFormat="false" ht="15" hidden="false" customHeight="false" outlineLevel="0" collapsed="false">
      <c r="A181" s="25"/>
      <c r="B181" s="16"/>
      <c r="C181" s="16"/>
      <c r="D181" s="18"/>
    </row>
    <row r="182" customFormat="false" ht="15" hidden="false" customHeight="false" outlineLevel="0" collapsed="false">
      <c r="A182" s="25"/>
      <c r="B182" s="16"/>
      <c r="C182" s="16"/>
      <c r="D182" s="18"/>
    </row>
    <row r="183" customFormat="false" ht="15" hidden="false" customHeight="false" outlineLevel="0" collapsed="false">
      <c r="A183" s="25"/>
      <c r="B183" s="16"/>
      <c r="C183" s="16"/>
      <c r="D183" s="18"/>
    </row>
    <row r="184" customFormat="false" ht="15" hidden="false" customHeight="false" outlineLevel="0" collapsed="false">
      <c r="A184" s="25"/>
      <c r="B184" s="16"/>
      <c r="C184" s="16"/>
      <c r="D184" s="18"/>
    </row>
    <row r="185" customFormat="false" ht="15" hidden="false" customHeight="false" outlineLevel="0" collapsed="false">
      <c r="A185" s="25"/>
      <c r="B185" s="16"/>
      <c r="C185" s="16"/>
      <c r="D185" s="18"/>
    </row>
    <row r="186" customFormat="false" ht="15" hidden="false" customHeight="false" outlineLevel="0" collapsed="false">
      <c r="A186" s="25"/>
      <c r="B186" s="16"/>
      <c r="C186" s="16"/>
      <c r="D186" s="18"/>
    </row>
    <row r="187" customFormat="false" ht="15" hidden="false" customHeight="false" outlineLevel="0" collapsed="false">
      <c r="A187" s="25"/>
      <c r="B187" s="16"/>
      <c r="C187" s="16"/>
      <c r="D187" s="18"/>
    </row>
    <row r="188" customFormat="false" ht="15" hidden="false" customHeight="false" outlineLevel="0" collapsed="false">
      <c r="A188" s="25"/>
      <c r="B188" s="16"/>
      <c r="C188" s="16"/>
      <c r="D188" s="18"/>
    </row>
    <row r="189" customFormat="false" ht="15" hidden="false" customHeight="false" outlineLevel="0" collapsed="false">
      <c r="A189" s="25"/>
      <c r="B189" s="16"/>
      <c r="C189" s="16"/>
      <c r="D189" s="18"/>
    </row>
    <row r="190" customFormat="false" ht="15" hidden="false" customHeight="false" outlineLevel="0" collapsed="false">
      <c r="A190" s="25"/>
      <c r="B190" s="16"/>
      <c r="C190" s="16"/>
      <c r="D190" s="18"/>
    </row>
    <row r="191" customFormat="false" ht="15" hidden="false" customHeight="false" outlineLevel="0" collapsed="false">
      <c r="A191" s="25"/>
      <c r="B191" s="16"/>
      <c r="C191" s="16"/>
      <c r="D191" s="18"/>
    </row>
    <row r="192" customFormat="false" ht="15" hidden="false" customHeight="false" outlineLevel="0" collapsed="false">
      <c r="A192" s="25"/>
      <c r="B192" s="16"/>
      <c r="C192" s="16"/>
      <c r="D192" s="18"/>
    </row>
    <row r="193" customFormat="false" ht="15" hidden="false" customHeight="false" outlineLevel="0" collapsed="false">
      <c r="A193" s="25"/>
      <c r="B193" s="16"/>
      <c r="C193" s="16"/>
      <c r="D193" s="18"/>
    </row>
    <row r="194" customFormat="false" ht="15" hidden="false" customHeight="false" outlineLevel="0" collapsed="false">
      <c r="A194" s="25"/>
      <c r="B194" s="16"/>
      <c r="C194" s="16"/>
      <c r="D194" s="18"/>
    </row>
    <row r="195" customFormat="false" ht="15" hidden="false" customHeight="false" outlineLevel="0" collapsed="false">
      <c r="A195" s="25"/>
      <c r="B195" s="16"/>
      <c r="C195" s="16"/>
      <c r="D195" s="18"/>
    </row>
    <row r="196" customFormat="false" ht="15" hidden="false" customHeight="false" outlineLevel="0" collapsed="false">
      <c r="A196" s="25"/>
      <c r="B196" s="16"/>
      <c r="C196" s="16"/>
      <c r="D196" s="18"/>
    </row>
    <row r="197" customFormat="false" ht="15" hidden="false" customHeight="false" outlineLevel="0" collapsed="false">
      <c r="A197" s="25"/>
      <c r="B197" s="16"/>
      <c r="C197" s="16"/>
      <c r="D197" s="18"/>
    </row>
    <row r="198" customFormat="false" ht="15" hidden="false" customHeight="false" outlineLevel="0" collapsed="false">
      <c r="A198" s="25"/>
      <c r="B198" s="16"/>
      <c r="C198" s="16"/>
      <c r="D198" s="18"/>
    </row>
    <row r="199" customFormat="false" ht="15" hidden="false" customHeight="false" outlineLevel="0" collapsed="false">
      <c r="A199" s="25"/>
      <c r="B199" s="16"/>
      <c r="C199" s="16"/>
      <c r="D199" s="18"/>
    </row>
    <row r="200" customFormat="false" ht="15" hidden="false" customHeight="false" outlineLevel="0" collapsed="false">
      <c r="A200" s="25"/>
      <c r="B200" s="16"/>
      <c r="C200" s="16"/>
      <c r="D200" s="18"/>
    </row>
    <row r="201" customFormat="false" ht="15" hidden="false" customHeight="false" outlineLevel="0" collapsed="false">
      <c r="A201" s="25"/>
      <c r="B201" s="16"/>
      <c r="C201" s="16"/>
      <c r="D201" s="18"/>
    </row>
    <row r="202" customFormat="false" ht="15" hidden="false" customHeight="false" outlineLevel="0" collapsed="false">
      <c r="A202" s="25"/>
      <c r="B202" s="16"/>
      <c r="C202" s="16"/>
      <c r="D202" s="18"/>
    </row>
    <row r="203" customFormat="false" ht="15" hidden="false" customHeight="false" outlineLevel="0" collapsed="false">
      <c r="A203" s="25"/>
      <c r="B203" s="16"/>
      <c r="C203" s="16"/>
      <c r="D203" s="18"/>
    </row>
    <row r="204" customFormat="false" ht="15" hidden="false" customHeight="false" outlineLevel="0" collapsed="false">
      <c r="A204" s="25"/>
      <c r="B204" s="16"/>
      <c r="C204" s="16"/>
      <c r="D204" s="18"/>
    </row>
    <row r="205" customFormat="false" ht="15" hidden="false" customHeight="false" outlineLevel="0" collapsed="false">
      <c r="A205" s="25"/>
      <c r="B205" s="16"/>
      <c r="C205" s="16"/>
      <c r="D205" s="18"/>
    </row>
    <row r="206" customFormat="false" ht="15" hidden="false" customHeight="false" outlineLevel="0" collapsed="false">
      <c r="A206" s="25"/>
      <c r="B206" s="16"/>
      <c r="C206" s="16"/>
      <c r="D206" s="18"/>
    </row>
    <row r="207" customFormat="false" ht="15" hidden="false" customHeight="false" outlineLevel="0" collapsed="false">
      <c r="A207" s="25"/>
      <c r="B207" s="16"/>
      <c r="C207" s="16"/>
      <c r="D207" s="18"/>
    </row>
    <row r="208" customFormat="false" ht="15" hidden="false" customHeight="false" outlineLevel="0" collapsed="false">
      <c r="A208" s="25"/>
      <c r="B208" s="16"/>
      <c r="C208" s="16"/>
      <c r="D208" s="18"/>
    </row>
    <row r="209" customFormat="false" ht="15" hidden="false" customHeight="false" outlineLevel="0" collapsed="false">
      <c r="A209" s="25"/>
      <c r="B209" s="16"/>
      <c r="C209" s="16"/>
      <c r="D209" s="18"/>
    </row>
    <row r="210" customFormat="false" ht="15" hidden="false" customHeight="false" outlineLevel="0" collapsed="false">
      <c r="A210" s="25"/>
      <c r="B210" s="16"/>
      <c r="C210" s="16"/>
      <c r="D210" s="18"/>
    </row>
    <row r="211" customFormat="false" ht="15" hidden="false" customHeight="false" outlineLevel="0" collapsed="false">
      <c r="A211" s="25"/>
      <c r="B211" s="16"/>
      <c r="C211" s="16"/>
      <c r="D211" s="18"/>
    </row>
    <row r="212" customFormat="false" ht="15" hidden="false" customHeight="false" outlineLevel="0" collapsed="false">
      <c r="A212" s="25"/>
      <c r="B212" s="16"/>
      <c r="C212" s="16"/>
      <c r="D212" s="18"/>
    </row>
    <row r="213" customFormat="false" ht="15" hidden="false" customHeight="false" outlineLevel="0" collapsed="false">
      <c r="A213" s="25"/>
      <c r="B213" s="16"/>
      <c r="C213" s="16"/>
      <c r="D213" s="18"/>
    </row>
    <row r="214" customFormat="false" ht="15" hidden="false" customHeight="false" outlineLevel="0" collapsed="false">
      <c r="A214" s="25"/>
      <c r="B214" s="16"/>
      <c r="C214" s="16"/>
      <c r="D214" s="18"/>
    </row>
    <row r="215" customFormat="false" ht="15" hidden="false" customHeight="false" outlineLevel="0" collapsed="false">
      <c r="A215" s="25"/>
      <c r="B215" s="16"/>
      <c r="C215" s="16"/>
      <c r="D215" s="18"/>
    </row>
    <row r="216" customFormat="false" ht="15" hidden="false" customHeight="false" outlineLevel="0" collapsed="false">
      <c r="A216" s="25"/>
      <c r="B216" s="16"/>
      <c r="C216" s="16"/>
      <c r="D216" s="18"/>
    </row>
    <row r="217" customFormat="false" ht="15" hidden="false" customHeight="false" outlineLevel="0" collapsed="false">
      <c r="A217" s="25"/>
      <c r="B217" s="16"/>
      <c r="C217" s="16"/>
      <c r="D217" s="18"/>
    </row>
    <row r="218" customFormat="false" ht="15" hidden="false" customHeight="false" outlineLevel="0" collapsed="false">
      <c r="A218" s="25"/>
      <c r="B218" s="16"/>
      <c r="C218" s="16"/>
      <c r="D218" s="18"/>
    </row>
    <row r="219" customFormat="false" ht="15" hidden="false" customHeight="false" outlineLevel="0" collapsed="false">
      <c r="A219" s="25"/>
      <c r="B219" s="16"/>
      <c r="C219" s="16"/>
      <c r="D219" s="18"/>
    </row>
    <row r="220" customFormat="false" ht="15" hidden="false" customHeight="false" outlineLevel="0" collapsed="false">
      <c r="A220" s="25"/>
      <c r="B220" s="16"/>
      <c r="C220" s="16"/>
      <c r="D220" s="18"/>
    </row>
    <row r="221" customFormat="false" ht="15" hidden="false" customHeight="false" outlineLevel="0" collapsed="false">
      <c r="A221" s="25"/>
      <c r="B221" s="16"/>
      <c r="C221" s="16"/>
      <c r="D221" s="18"/>
    </row>
    <row r="222" customFormat="false" ht="15" hidden="false" customHeight="false" outlineLevel="0" collapsed="false">
      <c r="A222" s="25"/>
      <c r="B222" s="16"/>
      <c r="C222" s="16"/>
      <c r="D222" s="18"/>
    </row>
    <row r="223" customFormat="false" ht="15" hidden="false" customHeight="false" outlineLevel="0" collapsed="false">
      <c r="A223" s="25"/>
      <c r="B223" s="16"/>
      <c r="C223" s="16"/>
      <c r="D223" s="18"/>
    </row>
    <row r="224" customFormat="false" ht="15" hidden="false" customHeight="false" outlineLevel="0" collapsed="false">
      <c r="A224" s="25"/>
      <c r="B224" s="16"/>
      <c r="C224" s="16"/>
      <c r="D224" s="18"/>
    </row>
    <row r="225" customFormat="false" ht="15" hidden="false" customHeight="false" outlineLevel="0" collapsed="false">
      <c r="A225" s="25"/>
      <c r="B225" s="16"/>
      <c r="C225" s="16"/>
      <c r="D225" s="18"/>
    </row>
    <row r="226" customFormat="false" ht="15" hidden="false" customHeight="false" outlineLevel="0" collapsed="false">
      <c r="A226" s="25"/>
      <c r="B226" s="16"/>
      <c r="C226" s="16"/>
      <c r="D226" s="18"/>
    </row>
    <row r="227" customFormat="false" ht="15" hidden="false" customHeight="false" outlineLevel="0" collapsed="false">
      <c r="A227" s="25"/>
      <c r="B227" s="16"/>
      <c r="C227" s="16"/>
      <c r="D227" s="18"/>
    </row>
    <row r="228" customFormat="false" ht="15" hidden="false" customHeight="false" outlineLevel="0" collapsed="false">
      <c r="A228" s="25"/>
      <c r="B228" s="16"/>
      <c r="C228" s="16"/>
      <c r="D228" s="18"/>
    </row>
    <row r="229" customFormat="false" ht="15" hidden="false" customHeight="false" outlineLevel="0" collapsed="false">
      <c r="A229" s="25"/>
      <c r="B229" s="16"/>
      <c r="C229" s="16"/>
      <c r="D229" s="18"/>
    </row>
    <row r="230" customFormat="false" ht="15" hidden="false" customHeight="false" outlineLevel="0" collapsed="false">
      <c r="A230" s="25"/>
      <c r="B230" s="16"/>
      <c r="C230" s="16"/>
      <c r="D230" s="18"/>
    </row>
    <row r="231" customFormat="false" ht="15" hidden="false" customHeight="false" outlineLevel="0" collapsed="false">
      <c r="A231" s="25"/>
      <c r="B231" s="16"/>
      <c r="C231" s="16"/>
      <c r="D231" s="18"/>
    </row>
    <row r="232" customFormat="false" ht="15" hidden="false" customHeight="false" outlineLevel="0" collapsed="false">
      <c r="A232" s="25"/>
      <c r="B232" s="16"/>
      <c r="C232" s="16"/>
      <c r="D232" s="18"/>
    </row>
    <row r="233" customFormat="false" ht="15" hidden="false" customHeight="false" outlineLevel="0" collapsed="false">
      <c r="A233" s="25"/>
      <c r="B233" s="16"/>
      <c r="C233" s="16"/>
      <c r="D233" s="18"/>
    </row>
    <row r="234" customFormat="false" ht="15" hidden="false" customHeight="false" outlineLevel="0" collapsed="false">
      <c r="A234" s="25"/>
      <c r="B234" s="16"/>
      <c r="C234" s="16"/>
      <c r="D234" s="18"/>
    </row>
    <row r="235" customFormat="false" ht="15" hidden="false" customHeight="false" outlineLevel="0" collapsed="false">
      <c r="A235" s="25"/>
      <c r="B235" s="16"/>
      <c r="C235" s="16"/>
      <c r="D235" s="18"/>
    </row>
    <row r="236" customFormat="false" ht="15" hidden="false" customHeight="false" outlineLevel="0" collapsed="false">
      <c r="A236" s="25"/>
      <c r="B236" s="16"/>
      <c r="C236" s="16"/>
      <c r="D236" s="18"/>
    </row>
    <row r="237" customFormat="false" ht="15" hidden="false" customHeight="false" outlineLevel="0" collapsed="false">
      <c r="A237" s="25"/>
      <c r="B237" s="16"/>
      <c r="C237" s="16"/>
      <c r="D237" s="18"/>
    </row>
    <row r="238" customFormat="false" ht="15" hidden="false" customHeight="false" outlineLevel="0" collapsed="false">
      <c r="A238" s="25"/>
      <c r="B238" s="16"/>
      <c r="C238" s="16"/>
      <c r="D238" s="18"/>
    </row>
    <row r="239" customFormat="false" ht="15" hidden="false" customHeight="false" outlineLevel="0" collapsed="false">
      <c r="A239" s="25"/>
      <c r="B239" s="16"/>
      <c r="C239" s="16"/>
      <c r="D239" s="18"/>
    </row>
    <row r="240" customFormat="false" ht="15" hidden="false" customHeight="false" outlineLevel="0" collapsed="false">
      <c r="A240" s="25"/>
      <c r="B240" s="16"/>
      <c r="C240" s="16"/>
      <c r="D240" s="18"/>
    </row>
    <row r="241" customFormat="false" ht="15" hidden="false" customHeight="false" outlineLevel="0" collapsed="false">
      <c r="A241" s="25"/>
      <c r="B241" s="16"/>
      <c r="C241" s="16"/>
      <c r="D241" s="18"/>
    </row>
    <row r="242" customFormat="false" ht="15" hidden="false" customHeight="false" outlineLevel="0" collapsed="false">
      <c r="A242" s="25"/>
      <c r="B242" s="16"/>
      <c r="C242" s="16"/>
      <c r="D242" s="18"/>
    </row>
    <row r="243" customFormat="false" ht="15" hidden="false" customHeight="false" outlineLevel="0" collapsed="false">
      <c r="A243" s="25"/>
      <c r="B243" s="16"/>
      <c r="C243" s="16"/>
      <c r="D243" s="18"/>
    </row>
    <row r="244" customFormat="false" ht="15" hidden="false" customHeight="false" outlineLevel="0" collapsed="false">
      <c r="A244" s="25"/>
      <c r="B244" s="16"/>
      <c r="C244" s="16"/>
      <c r="D244" s="18"/>
    </row>
    <row r="245" customFormat="false" ht="15" hidden="false" customHeight="false" outlineLevel="0" collapsed="false">
      <c r="A245" s="25"/>
      <c r="B245" s="16"/>
      <c r="C245" s="16"/>
      <c r="D245" s="18"/>
    </row>
    <row r="246" customFormat="false" ht="15" hidden="false" customHeight="false" outlineLevel="0" collapsed="false">
      <c r="A246" s="25"/>
      <c r="B246" s="16"/>
      <c r="C246" s="16"/>
      <c r="D246" s="18"/>
    </row>
    <row r="247" customFormat="false" ht="15" hidden="false" customHeight="false" outlineLevel="0" collapsed="false">
      <c r="A247" s="25"/>
      <c r="B247" s="16"/>
      <c r="C247" s="16"/>
      <c r="D247" s="18"/>
    </row>
    <row r="248" customFormat="false" ht="15" hidden="false" customHeight="false" outlineLevel="0" collapsed="false">
      <c r="A248" s="25"/>
      <c r="B248" s="16"/>
      <c r="C248" s="16"/>
      <c r="D248" s="18"/>
    </row>
    <row r="249" customFormat="false" ht="15" hidden="false" customHeight="false" outlineLevel="0" collapsed="false">
      <c r="A249" s="25"/>
      <c r="B249" s="16"/>
      <c r="C249" s="16"/>
      <c r="D249" s="18"/>
    </row>
    <row r="250" customFormat="false" ht="15" hidden="false" customHeight="false" outlineLevel="0" collapsed="false">
      <c r="A250" s="25"/>
      <c r="B250" s="16"/>
      <c r="C250" s="16"/>
      <c r="D250" s="18"/>
    </row>
    <row r="251" customFormat="false" ht="15" hidden="false" customHeight="false" outlineLevel="0" collapsed="false">
      <c r="A251" s="25"/>
      <c r="B251" s="16"/>
      <c r="C251" s="16"/>
      <c r="D251" s="18"/>
    </row>
    <row r="252" customFormat="false" ht="15" hidden="false" customHeight="false" outlineLevel="0" collapsed="false">
      <c r="A252" s="25"/>
      <c r="B252" s="16"/>
      <c r="C252" s="16"/>
      <c r="D252" s="18"/>
    </row>
    <row r="253" customFormat="false" ht="15" hidden="false" customHeight="false" outlineLevel="0" collapsed="false">
      <c r="A253" s="25"/>
      <c r="B253" s="16"/>
      <c r="C253" s="16"/>
      <c r="D253" s="18"/>
    </row>
    <row r="254" customFormat="false" ht="15" hidden="false" customHeight="false" outlineLevel="0" collapsed="false">
      <c r="A254" s="25"/>
      <c r="B254" s="16"/>
      <c r="C254" s="16"/>
      <c r="D254" s="18"/>
    </row>
    <row r="255" customFormat="false" ht="15" hidden="false" customHeight="false" outlineLevel="0" collapsed="false">
      <c r="A255" s="25"/>
      <c r="B255" s="16"/>
      <c r="C255" s="16"/>
      <c r="D255" s="18"/>
    </row>
    <row r="256" customFormat="false" ht="15" hidden="false" customHeight="false" outlineLevel="0" collapsed="false">
      <c r="A256" s="25"/>
      <c r="B256" s="16"/>
      <c r="C256" s="16"/>
      <c r="D256" s="18"/>
    </row>
    <row r="257" customFormat="false" ht="15" hidden="false" customHeight="false" outlineLevel="0" collapsed="false">
      <c r="A257" s="25"/>
      <c r="B257" s="16"/>
      <c r="C257" s="16"/>
      <c r="D257" s="18"/>
    </row>
    <row r="258" customFormat="false" ht="15" hidden="false" customHeight="false" outlineLevel="0" collapsed="false">
      <c r="A258" s="25"/>
      <c r="B258" s="16"/>
      <c r="C258" s="16"/>
      <c r="D258" s="18"/>
    </row>
    <row r="259" customFormat="false" ht="15" hidden="false" customHeight="false" outlineLevel="0" collapsed="false">
      <c r="A259" s="25"/>
      <c r="B259" s="16"/>
      <c r="C259" s="16"/>
      <c r="D259" s="18"/>
    </row>
    <row r="260" customFormat="false" ht="15" hidden="false" customHeight="false" outlineLevel="0" collapsed="false">
      <c r="A260" s="25"/>
      <c r="B260" s="16"/>
      <c r="C260" s="16"/>
      <c r="D260" s="18"/>
    </row>
    <row r="261" customFormat="false" ht="15" hidden="false" customHeight="false" outlineLevel="0" collapsed="false">
      <c r="A261" s="25"/>
      <c r="B261" s="16"/>
      <c r="C261" s="16"/>
      <c r="D261" s="18"/>
    </row>
    <row r="262" customFormat="false" ht="15" hidden="false" customHeight="false" outlineLevel="0" collapsed="false">
      <c r="A262" s="25"/>
      <c r="B262" s="16"/>
      <c r="C262" s="16"/>
      <c r="D262" s="18"/>
    </row>
    <row r="263" customFormat="false" ht="15" hidden="false" customHeight="false" outlineLevel="0" collapsed="false">
      <c r="A263" s="25"/>
      <c r="B263" s="16"/>
      <c r="C263" s="16"/>
      <c r="D263" s="18"/>
    </row>
    <row r="264" customFormat="false" ht="15" hidden="false" customHeight="false" outlineLevel="0" collapsed="false">
      <c r="A264" s="25"/>
      <c r="B264" s="16"/>
      <c r="C264" s="16"/>
      <c r="D264" s="18"/>
    </row>
    <row r="265" customFormat="false" ht="15" hidden="false" customHeight="false" outlineLevel="0" collapsed="false">
      <c r="A265" s="25"/>
      <c r="B265" s="16"/>
      <c r="C265" s="16"/>
      <c r="D265" s="18"/>
    </row>
    <row r="266" customFormat="false" ht="15" hidden="false" customHeight="false" outlineLevel="0" collapsed="false">
      <c r="A266" s="25"/>
      <c r="B266" s="16"/>
      <c r="C266" s="16"/>
      <c r="D266" s="18"/>
    </row>
    <row r="267" customFormat="false" ht="15" hidden="false" customHeight="false" outlineLevel="0" collapsed="false">
      <c r="A267" s="25"/>
      <c r="B267" s="16"/>
      <c r="C267" s="16"/>
      <c r="D267" s="18"/>
    </row>
    <row r="268" customFormat="false" ht="15" hidden="false" customHeight="false" outlineLevel="0" collapsed="false">
      <c r="A268" s="25"/>
      <c r="B268" s="16"/>
      <c r="C268" s="16"/>
      <c r="D268" s="18"/>
    </row>
    <row r="269" customFormat="false" ht="15" hidden="false" customHeight="false" outlineLevel="0" collapsed="false">
      <c r="A269" s="25"/>
      <c r="B269" s="16"/>
      <c r="C269" s="16"/>
      <c r="D269" s="18"/>
    </row>
    <row r="270" customFormat="false" ht="15" hidden="false" customHeight="false" outlineLevel="0" collapsed="false">
      <c r="A270" s="25"/>
      <c r="B270" s="16"/>
      <c r="C270" s="16"/>
      <c r="D270" s="18"/>
    </row>
    <row r="271" customFormat="false" ht="15" hidden="false" customHeight="false" outlineLevel="0" collapsed="false">
      <c r="A271" s="25"/>
      <c r="B271" s="16"/>
      <c r="C271" s="16"/>
      <c r="D271" s="18"/>
    </row>
    <row r="272" customFormat="false" ht="15" hidden="false" customHeight="false" outlineLevel="0" collapsed="false">
      <c r="A272" s="25"/>
      <c r="B272" s="16"/>
      <c r="C272" s="16"/>
      <c r="D272" s="18"/>
    </row>
    <row r="273" customFormat="false" ht="15" hidden="false" customHeight="false" outlineLevel="0" collapsed="false">
      <c r="A273" s="25"/>
      <c r="B273" s="16"/>
      <c r="C273" s="16"/>
      <c r="D273" s="18"/>
    </row>
    <row r="274" customFormat="false" ht="15" hidden="false" customHeight="false" outlineLevel="0" collapsed="false">
      <c r="A274" s="25"/>
      <c r="B274" s="16"/>
      <c r="C274" s="16"/>
      <c r="D274" s="18"/>
    </row>
    <row r="275" customFormat="false" ht="15" hidden="false" customHeight="false" outlineLevel="0" collapsed="false">
      <c r="A275" s="25"/>
      <c r="B275" s="16"/>
      <c r="C275" s="16"/>
      <c r="D275" s="18"/>
    </row>
    <row r="276" customFormat="false" ht="15" hidden="false" customHeight="false" outlineLevel="0" collapsed="false">
      <c r="A276" s="25"/>
      <c r="B276" s="16"/>
      <c r="C276" s="16"/>
      <c r="D276" s="18"/>
    </row>
    <row r="277" customFormat="false" ht="15" hidden="false" customHeight="false" outlineLevel="0" collapsed="false">
      <c r="A277" s="25"/>
      <c r="B277" s="16"/>
      <c r="C277" s="16"/>
      <c r="D277" s="18"/>
    </row>
    <row r="278" customFormat="false" ht="15" hidden="false" customHeight="false" outlineLevel="0" collapsed="false">
      <c r="A278" s="25"/>
      <c r="B278" s="16"/>
      <c r="C278" s="16"/>
      <c r="D278" s="18"/>
    </row>
    <row r="279" customFormat="false" ht="15" hidden="false" customHeight="false" outlineLevel="0" collapsed="false">
      <c r="A279" s="25"/>
      <c r="B279" s="16"/>
      <c r="C279" s="16"/>
      <c r="D279" s="18"/>
    </row>
    <row r="280" customFormat="false" ht="15" hidden="false" customHeight="false" outlineLevel="0" collapsed="false">
      <c r="A280" s="25"/>
      <c r="B280" s="16"/>
      <c r="C280" s="16"/>
      <c r="D280" s="18"/>
    </row>
    <row r="281" customFormat="false" ht="15" hidden="false" customHeight="false" outlineLevel="0" collapsed="false">
      <c r="A281" s="25"/>
      <c r="B281" s="16"/>
      <c r="C281" s="16"/>
      <c r="D281" s="18"/>
    </row>
    <row r="282" customFormat="false" ht="15" hidden="false" customHeight="false" outlineLevel="0" collapsed="false">
      <c r="A282" s="25"/>
      <c r="B282" s="16"/>
      <c r="C282" s="16"/>
      <c r="D282" s="18"/>
    </row>
    <row r="283" customFormat="false" ht="15" hidden="false" customHeight="false" outlineLevel="0" collapsed="false">
      <c r="A283" s="25"/>
      <c r="B283" s="16"/>
      <c r="C283" s="16"/>
      <c r="D283" s="18"/>
    </row>
    <row r="284" customFormat="false" ht="15" hidden="false" customHeight="false" outlineLevel="0" collapsed="false">
      <c r="A284" s="25"/>
      <c r="B284" s="16"/>
      <c r="C284" s="16"/>
      <c r="D284" s="18"/>
    </row>
    <row r="285" customFormat="false" ht="15" hidden="false" customHeight="false" outlineLevel="0" collapsed="false">
      <c r="A285" s="25"/>
      <c r="B285" s="16"/>
      <c r="C285" s="16"/>
      <c r="D285" s="18"/>
    </row>
    <row r="286" customFormat="false" ht="15" hidden="false" customHeight="false" outlineLevel="0" collapsed="false">
      <c r="A286" s="25"/>
      <c r="B286" s="16"/>
      <c r="C286" s="16"/>
      <c r="D286" s="18"/>
    </row>
    <row r="287" customFormat="false" ht="15" hidden="false" customHeight="false" outlineLevel="0" collapsed="false">
      <c r="A287" s="25"/>
      <c r="B287" s="16"/>
      <c r="C287" s="16"/>
      <c r="D287" s="18"/>
    </row>
    <row r="288" customFormat="false" ht="15" hidden="false" customHeight="false" outlineLevel="0" collapsed="false">
      <c r="A288" s="25"/>
      <c r="B288" s="16"/>
      <c r="C288" s="16"/>
      <c r="D288" s="18"/>
    </row>
    <row r="289" customFormat="false" ht="15" hidden="false" customHeight="false" outlineLevel="0" collapsed="false">
      <c r="A289" s="25"/>
      <c r="B289" s="16"/>
      <c r="C289" s="16"/>
      <c r="D289" s="18"/>
    </row>
    <row r="290" customFormat="false" ht="15" hidden="false" customHeight="false" outlineLevel="0" collapsed="false">
      <c r="A290" s="25"/>
      <c r="B290" s="16"/>
      <c r="C290" s="16"/>
      <c r="D290" s="18"/>
    </row>
    <row r="291" customFormat="false" ht="15" hidden="false" customHeight="false" outlineLevel="0" collapsed="false">
      <c r="A291" s="25"/>
      <c r="B291" s="16"/>
      <c r="C291" s="16"/>
      <c r="D291" s="18"/>
    </row>
    <row r="292" customFormat="false" ht="15" hidden="false" customHeight="false" outlineLevel="0" collapsed="false">
      <c r="A292" s="25"/>
      <c r="B292" s="16"/>
      <c r="C292" s="16"/>
      <c r="D292" s="18"/>
    </row>
    <row r="293" customFormat="false" ht="15" hidden="false" customHeight="false" outlineLevel="0" collapsed="false">
      <c r="A293" s="25"/>
      <c r="B293" s="16"/>
      <c r="C293" s="16"/>
      <c r="D293" s="18"/>
    </row>
    <row r="294" customFormat="false" ht="15" hidden="false" customHeight="false" outlineLevel="0" collapsed="false">
      <c r="A294" s="25"/>
      <c r="B294" s="16"/>
      <c r="C294" s="16"/>
      <c r="D294" s="18"/>
    </row>
    <row r="295" customFormat="false" ht="15" hidden="false" customHeight="false" outlineLevel="0" collapsed="false">
      <c r="A295" s="25"/>
      <c r="B295" s="16"/>
      <c r="C295" s="16"/>
      <c r="D295" s="18"/>
    </row>
    <row r="296" customFormat="false" ht="15" hidden="false" customHeight="false" outlineLevel="0" collapsed="false">
      <c r="A296" s="25"/>
      <c r="B296" s="16"/>
      <c r="C296" s="16"/>
      <c r="D296" s="18"/>
    </row>
    <row r="297" customFormat="false" ht="15" hidden="false" customHeight="false" outlineLevel="0" collapsed="false">
      <c r="A297" s="25"/>
      <c r="B297" s="16"/>
      <c r="C297" s="16"/>
      <c r="D297" s="18"/>
    </row>
    <row r="298" customFormat="false" ht="15" hidden="false" customHeight="false" outlineLevel="0" collapsed="false">
      <c r="A298" s="25"/>
      <c r="B298" s="16"/>
      <c r="C298" s="16"/>
      <c r="D298" s="18"/>
    </row>
    <row r="299" customFormat="false" ht="15" hidden="false" customHeight="false" outlineLevel="0" collapsed="false">
      <c r="A299" s="25"/>
      <c r="B299" s="16"/>
      <c r="C299" s="16"/>
      <c r="D299" s="18"/>
    </row>
    <row r="300" customFormat="false" ht="15" hidden="false" customHeight="false" outlineLevel="0" collapsed="false">
      <c r="A300" s="25"/>
      <c r="B300" s="16"/>
      <c r="C300" s="16"/>
      <c r="D300" s="18"/>
    </row>
    <row r="301" customFormat="false" ht="15" hidden="false" customHeight="false" outlineLevel="0" collapsed="false">
      <c r="A301" s="25"/>
      <c r="B301" s="16"/>
      <c r="C301" s="16"/>
      <c r="D301" s="18"/>
    </row>
    <row r="302" customFormat="false" ht="15" hidden="false" customHeight="false" outlineLevel="0" collapsed="false">
      <c r="A302" s="25"/>
      <c r="B302" s="16"/>
      <c r="C302" s="16"/>
      <c r="D302" s="18"/>
    </row>
    <row r="303" customFormat="false" ht="15" hidden="false" customHeight="false" outlineLevel="0" collapsed="false">
      <c r="A303" s="25"/>
      <c r="B303" s="16"/>
      <c r="C303" s="16"/>
      <c r="D303" s="18"/>
    </row>
    <row r="304" customFormat="false" ht="15" hidden="false" customHeight="false" outlineLevel="0" collapsed="false">
      <c r="A304" s="25"/>
      <c r="B304" s="16"/>
      <c r="C304" s="16"/>
      <c r="D304" s="18"/>
    </row>
    <row r="305" customFormat="false" ht="15" hidden="false" customHeight="false" outlineLevel="0" collapsed="false">
      <c r="A305" s="25"/>
      <c r="B305" s="16"/>
      <c r="C305" s="16"/>
      <c r="D305" s="18"/>
    </row>
  </sheetData>
  <dataValidations count="1">
    <dataValidation allowBlank="true" errorStyle="stop" operator="between" showDropDown="false" showErrorMessage="false" showInputMessage="false" sqref="C7:C305" type="list">
      <formula1>"Bar,Towel,Mixed grip,One arm assist"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2026-07-26T00:28:44Z</dcterms:created>
  <dc:creator>openpyxl</dc:creator>
  <dc:description/>
  <dc:language>en-US</dc:language>
  <cp:lastModifiedBy/>
  <dcterms:modified xsi:type="dcterms:W3CDTF">2026-07-26T00:28:45Z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